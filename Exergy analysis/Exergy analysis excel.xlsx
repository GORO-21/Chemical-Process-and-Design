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CI RG\OneDrive\Desktop\HWuni\sem 2\Thermodynamics\Assignment 2\"/>
    </mc:Choice>
  </mc:AlternateContent>
  <bookViews>
    <workbookView xWindow="0" yWindow="0" windowWidth="23040" windowHeight="9972"/>
  </bookViews>
  <sheets>
    <sheet name="acivity 1 new" sheetId="2" r:id="rId1"/>
    <sheet name=" P,max vs parameter " sheetId="7" r:id="rId2"/>
    <sheet name="P,vessel,min vs parameters" sheetId="6" r:id="rId3"/>
    <sheet name="Vessel size optimisation" sheetId="8" r:id="rId4"/>
    <sheet name="System Design " sheetId="10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7" i="10" l="1"/>
  <c r="G45" i="10"/>
  <c r="G5" i="10"/>
  <c r="G60" i="7" l="1"/>
  <c r="D137" i="2" l="1"/>
  <c r="D134" i="2"/>
  <c r="D130" i="2"/>
  <c r="M77" i="2"/>
  <c r="M75" i="2"/>
  <c r="G7" i="10" l="1"/>
  <c r="C67" i="10" l="1"/>
  <c r="J52" i="2" l="1"/>
  <c r="C12" i="10"/>
  <c r="C10" i="10"/>
  <c r="G11" i="10" s="1"/>
  <c r="G9" i="10" l="1"/>
  <c r="G199" i="8"/>
  <c r="G200" i="8"/>
  <c r="G201" i="8"/>
  <c r="G202" i="8"/>
  <c r="G203" i="8"/>
  <c r="G198" i="8"/>
  <c r="C211" i="8"/>
  <c r="C207" i="8"/>
  <c r="F199" i="8"/>
  <c r="F200" i="8"/>
  <c r="F201" i="8"/>
  <c r="F202" i="8"/>
  <c r="F203" i="8"/>
  <c r="F198" i="8"/>
  <c r="F163" i="8"/>
  <c r="F164" i="8"/>
  <c r="F165" i="8"/>
  <c r="F166" i="8"/>
  <c r="F167" i="8"/>
  <c r="F162" i="8"/>
  <c r="E163" i="8"/>
  <c r="E164" i="8"/>
  <c r="E165" i="8"/>
  <c r="E166" i="8"/>
  <c r="E167" i="8"/>
  <c r="E162" i="8"/>
  <c r="D163" i="8"/>
  <c r="D164" i="8"/>
  <c r="D165" i="8"/>
  <c r="D166" i="8"/>
  <c r="D167" i="8"/>
  <c r="D162" i="8"/>
  <c r="C154" i="8"/>
  <c r="J100" i="8"/>
  <c r="K100" i="8" s="1"/>
  <c r="L100" i="8" s="1"/>
  <c r="M100" i="8" s="1"/>
  <c r="J101" i="8"/>
  <c r="K101" i="8" s="1"/>
  <c r="L101" i="8" s="1"/>
  <c r="M101" i="8" s="1"/>
  <c r="J102" i="8"/>
  <c r="K102" i="8" s="1"/>
  <c r="L102" i="8" s="1"/>
  <c r="M102" i="8" s="1"/>
  <c r="J103" i="8"/>
  <c r="K103" i="8" s="1"/>
  <c r="L103" i="8" s="1"/>
  <c r="M103" i="8" s="1"/>
  <c r="J104" i="8"/>
  <c r="K104" i="8" s="1"/>
  <c r="L104" i="8" s="1"/>
  <c r="M104" i="8" s="1"/>
  <c r="J99" i="8"/>
  <c r="K99" i="8" s="1"/>
  <c r="L99" i="8" s="1"/>
  <c r="M99" i="8" s="1"/>
  <c r="G100" i="8"/>
  <c r="H100" i="8" s="1"/>
  <c r="G101" i="8"/>
  <c r="H101" i="8" s="1"/>
  <c r="G102" i="8"/>
  <c r="H102" i="8" s="1"/>
  <c r="G103" i="8"/>
  <c r="H103" i="8" s="1"/>
  <c r="G104" i="8"/>
  <c r="H104" i="8" s="1"/>
  <c r="G99" i="8"/>
  <c r="H99" i="8" s="1"/>
  <c r="F100" i="8"/>
  <c r="F101" i="8"/>
  <c r="F102" i="8"/>
  <c r="F103" i="8"/>
  <c r="F104" i="8"/>
  <c r="F99" i="8"/>
  <c r="G84" i="8"/>
  <c r="G20" i="10" l="1"/>
  <c r="G22" i="10" s="1"/>
  <c r="C77" i="10"/>
  <c r="C75" i="10"/>
  <c r="F84" i="10" s="1"/>
  <c r="F86" i="10" s="1"/>
  <c r="J49" i="6"/>
  <c r="J42" i="6"/>
  <c r="J43" i="6"/>
  <c r="J44" i="6"/>
  <c r="J45" i="6"/>
  <c r="J46" i="6"/>
  <c r="J47" i="6"/>
  <c r="J48" i="6"/>
  <c r="J41" i="6"/>
  <c r="E37" i="8"/>
  <c r="F35" i="8"/>
  <c r="G35" i="8" s="1"/>
  <c r="H35" i="8" s="1"/>
  <c r="I35" i="8" s="1"/>
  <c r="F36" i="8"/>
  <c r="G36" i="8" s="1"/>
  <c r="H36" i="8" s="1"/>
  <c r="I36" i="8" s="1"/>
  <c r="F32" i="8"/>
  <c r="G32" i="8" s="1"/>
  <c r="H32" i="8" s="1"/>
  <c r="I32" i="8" s="1"/>
  <c r="E33" i="8"/>
  <c r="F33" i="8" s="1"/>
  <c r="G33" i="8" s="1"/>
  <c r="E34" i="8"/>
  <c r="F34" i="8" s="1"/>
  <c r="G34" i="8" s="1"/>
  <c r="E35" i="8"/>
  <c r="E36" i="8"/>
  <c r="E32" i="8"/>
  <c r="D20" i="8"/>
  <c r="D21" i="8"/>
  <c r="D22" i="8"/>
  <c r="D23" i="8"/>
  <c r="F23" i="8" s="1"/>
  <c r="D24" i="8"/>
  <c r="F24" i="8" s="1"/>
  <c r="D19" i="8"/>
  <c r="F19" i="8" s="1"/>
  <c r="C20" i="8"/>
  <c r="F20" i="8" s="1"/>
  <c r="C21" i="8"/>
  <c r="F21" i="8" s="1"/>
  <c r="C22" i="8"/>
  <c r="E22" i="8" s="1"/>
  <c r="C23" i="8"/>
  <c r="E23" i="8" s="1"/>
  <c r="C24" i="8"/>
  <c r="E24" i="8" s="1"/>
  <c r="C19" i="8"/>
  <c r="E19" i="8" s="1"/>
  <c r="C14" i="8"/>
  <c r="C12" i="8"/>
  <c r="G232" i="6"/>
  <c r="G233" i="6"/>
  <c r="G234" i="6"/>
  <c r="G235" i="6"/>
  <c r="G236" i="6"/>
  <c r="G237" i="6"/>
  <c r="G238" i="6"/>
  <c r="G239" i="6"/>
  <c r="G231" i="6"/>
  <c r="D223" i="6"/>
  <c r="F232" i="6"/>
  <c r="F233" i="6"/>
  <c r="F234" i="6"/>
  <c r="F235" i="6"/>
  <c r="F236" i="6"/>
  <c r="F237" i="6"/>
  <c r="F238" i="6"/>
  <c r="F239" i="6"/>
  <c r="F231" i="6"/>
  <c r="D219" i="6"/>
  <c r="F179" i="6"/>
  <c r="F180" i="6"/>
  <c r="F181" i="6"/>
  <c r="F182" i="6"/>
  <c r="F183" i="6"/>
  <c r="F184" i="6"/>
  <c r="F185" i="6"/>
  <c r="F186" i="6"/>
  <c r="F178" i="6"/>
  <c r="E179" i="6"/>
  <c r="E180" i="6"/>
  <c r="E181" i="6"/>
  <c r="E182" i="6"/>
  <c r="E183" i="6"/>
  <c r="E184" i="6"/>
  <c r="E185" i="6"/>
  <c r="E186" i="6"/>
  <c r="E178" i="6"/>
  <c r="D179" i="6"/>
  <c r="D180" i="6"/>
  <c r="D181" i="6"/>
  <c r="D182" i="6"/>
  <c r="D183" i="6"/>
  <c r="D184" i="6"/>
  <c r="D185" i="6"/>
  <c r="D186" i="6"/>
  <c r="D178" i="6"/>
  <c r="C173" i="6"/>
  <c r="M116" i="6"/>
  <c r="M117" i="6"/>
  <c r="M118" i="6"/>
  <c r="M119" i="6"/>
  <c r="M120" i="6"/>
  <c r="M121" i="6"/>
  <c r="M122" i="6"/>
  <c r="M123" i="6"/>
  <c r="M115" i="6"/>
  <c r="L116" i="6"/>
  <c r="L117" i="6"/>
  <c r="L118" i="6"/>
  <c r="L119" i="6"/>
  <c r="L120" i="6"/>
  <c r="L121" i="6"/>
  <c r="L122" i="6"/>
  <c r="L123" i="6"/>
  <c r="L115" i="6"/>
  <c r="F100" i="6"/>
  <c r="K116" i="6"/>
  <c r="K117" i="6"/>
  <c r="K118" i="6"/>
  <c r="K119" i="6"/>
  <c r="K120" i="6"/>
  <c r="K121" i="6"/>
  <c r="K122" i="6"/>
  <c r="K123" i="6"/>
  <c r="K115" i="6"/>
  <c r="J116" i="6"/>
  <c r="J117" i="6"/>
  <c r="J118" i="6"/>
  <c r="J119" i="6"/>
  <c r="J120" i="6"/>
  <c r="J121" i="6"/>
  <c r="J122" i="6"/>
  <c r="J123" i="6"/>
  <c r="J115" i="6"/>
  <c r="H116" i="6"/>
  <c r="H117" i="6"/>
  <c r="H118" i="6"/>
  <c r="H119" i="6"/>
  <c r="H120" i="6"/>
  <c r="H121" i="6"/>
  <c r="H122" i="6"/>
  <c r="H123" i="6"/>
  <c r="H115" i="6"/>
  <c r="G116" i="6"/>
  <c r="G117" i="6"/>
  <c r="G118" i="6"/>
  <c r="G119" i="6"/>
  <c r="G120" i="6"/>
  <c r="G121" i="6"/>
  <c r="G122" i="6"/>
  <c r="G123" i="6"/>
  <c r="G115" i="6"/>
  <c r="F116" i="6"/>
  <c r="F117" i="6"/>
  <c r="F118" i="6"/>
  <c r="F119" i="6"/>
  <c r="F120" i="6"/>
  <c r="F121" i="6"/>
  <c r="F122" i="6"/>
  <c r="F123" i="6"/>
  <c r="F115" i="6"/>
  <c r="G42" i="10" l="1"/>
  <c r="G25" i="10"/>
  <c r="G26" i="10" s="1"/>
  <c r="G28" i="10" s="1"/>
  <c r="G30" i="10" s="1"/>
  <c r="G44" i="10"/>
  <c r="G62" i="10"/>
  <c r="E21" i="8"/>
  <c r="H33" i="8"/>
  <c r="I33" i="8" s="1"/>
  <c r="F22" i="8"/>
  <c r="E20" i="8"/>
  <c r="F37" i="8"/>
  <c r="G37" i="8" s="1"/>
  <c r="H37" i="8" s="1"/>
  <c r="I37" i="8" s="1"/>
  <c r="H34" i="8"/>
  <c r="I34" i="8" s="1"/>
  <c r="I42" i="6"/>
  <c r="I43" i="6"/>
  <c r="I44" i="6"/>
  <c r="I45" i="6"/>
  <c r="I46" i="6"/>
  <c r="I47" i="6"/>
  <c r="I48" i="6"/>
  <c r="I49" i="6"/>
  <c r="I41" i="6"/>
  <c r="H42" i="6"/>
  <c r="H43" i="6"/>
  <c r="H44" i="6"/>
  <c r="H45" i="6"/>
  <c r="H46" i="6"/>
  <c r="H47" i="6"/>
  <c r="H48" i="6"/>
  <c r="H49" i="6"/>
  <c r="H41" i="6"/>
  <c r="F42" i="6"/>
  <c r="F43" i="6"/>
  <c r="F44" i="6"/>
  <c r="F45" i="6"/>
  <c r="F46" i="6"/>
  <c r="G46" i="6" s="1"/>
  <c r="F47" i="6"/>
  <c r="G47" i="6" s="1"/>
  <c r="F48" i="6"/>
  <c r="G48" i="6" s="1"/>
  <c r="F49" i="6"/>
  <c r="G49" i="6" s="1"/>
  <c r="F41" i="6"/>
  <c r="G42" i="6"/>
  <c r="G43" i="6"/>
  <c r="G44" i="6"/>
  <c r="G45" i="6"/>
  <c r="G41" i="6"/>
  <c r="C49" i="6"/>
  <c r="E49" i="6" s="1"/>
  <c r="C48" i="6"/>
  <c r="E48" i="6" s="1"/>
  <c r="C47" i="6"/>
  <c r="E47" i="6" s="1"/>
  <c r="C46" i="6"/>
  <c r="E46" i="6" s="1"/>
  <c r="C45" i="6"/>
  <c r="E45" i="6" s="1"/>
  <c r="C44" i="6"/>
  <c r="E44" i="6" s="1"/>
  <c r="C43" i="6"/>
  <c r="D43" i="6" s="1"/>
  <c r="C42" i="6"/>
  <c r="E42" i="6" s="1"/>
  <c r="C41" i="6"/>
  <c r="E41" i="6" s="1"/>
  <c r="E26" i="6"/>
  <c r="E27" i="6"/>
  <c r="E28" i="6"/>
  <c r="E29" i="6"/>
  <c r="E30" i="6"/>
  <c r="E31" i="6"/>
  <c r="E32" i="6"/>
  <c r="E33" i="6"/>
  <c r="E25" i="6"/>
  <c r="D26" i="6"/>
  <c r="D27" i="6"/>
  <c r="D28" i="6"/>
  <c r="D29" i="6"/>
  <c r="D30" i="6"/>
  <c r="D31" i="6"/>
  <c r="D32" i="6"/>
  <c r="D33" i="6"/>
  <c r="C20" i="6"/>
  <c r="D25" i="6"/>
  <c r="C26" i="6"/>
  <c r="C27" i="6"/>
  <c r="C28" i="6"/>
  <c r="C29" i="6"/>
  <c r="C30" i="6"/>
  <c r="C31" i="6"/>
  <c r="C32" i="6"/>
  <c r="C33" i="6"/>
  <c r="C25" i="6"/>
  <c r="L16" i="7"/>
  <c r="I20" i="6"/>
  <c r="C18" i="6"/>
  <c r="F214" i="7"/>
  <c r="F215" i="7"/>
  <c r="F216" i="7"/>
  <c r="F217" i="7"/>
  <c r="F218" i="7"/>
  <c r="F213" i="7"/>
  <c r="E214" i="7"/>
  <c r="E215" i="7"/>
  <c r="E216" i="7"/>
  <c r="E217" i="7"/>
  <c r="E218" i="7"/>
  <c r="E213" i="7"/>
  <c r="D203" i="7"/>
  <c r="L131" i="7"/>
  <c r="G47" i="10" l="1"/>
  <c r="G49" i="10" s="1"/>
  <c r="G51" i="10" s="1"/>
  <c r="G53" i="10" s="1"/>
  <c r="E43" i="6"/>
  <c r="D42" i="6"/>
  <c r="D46" i="6"/>
  <c r="D47" i="6"/>
  <c r="D44" i="6"/>
  <c r="D48" i="6"/>
  <c r="D41" i="6"/>
  <c r="D45" i="6"/>
  <c r="D49" i="6"/>
  <c r="F176" i="7"/>
  <c r="E176" i="7"/>
  <c r="D176" i="7"/>
  <c r="E175" i="7"/>
  <c r="F175" i="7" s="1"/>
  <c r="D175" i="7"/>
  <c r="E174" i="7"/>
  <c r="F174" i="7" s="1"/>
  <c r="D174" i="7"/>
  <c r="E173" i="7"/>
  <c r="F173" i="7" s="1"/>
  <c r="D173" i="7"/>
  <c r="F172" i="7"/>
  <c r="E172" i="7"/>
  <c r="D172" i="7"/>
  <c r="E171" i="7"/>
  <c r="F171" i="7" s="1"/>
  <c r="D171" i="7"/>
  <c r="C167" i="7"/>
  <c r="K134" i="7"/>
  <c r="L134" i="7" s="1"/>
  <c r="M134" i="7" s="1"/>
  <c r="J134" i="7"/>
  <c r="G134" i="7"/>
  <c r="K133" i="7"/>
  <c r="L133" i="7" s="1"/>
  <c r="M133" i="7" s="1"/>
  <c r="J133" i="7"/>
  <c r="G133" i="7"/>
  <c r="E133" i="7"/>
  <c r="K132" i="7"/>
  <c r="L132" i="7" s="1"/>
  <c r="M132" i="7" s="1"/>
  <c r="J132" i="7"/>
  <c r="G132" i="7"/>
  <c r="H132" i="7" s="1"/>
  <c r="E132" i="7"/>
  <c r="K131" i="7"/>
  <c r="M131" i="7" s="1"/>
  <c r="J131" i="7"/>
  <c r="G131" i="7"/>
  <c r="H131" i="7" s="1"/>
  <c r="E131" i="7"/>
  <c r="M130" i="7"/>
  <c r="L130" i="7"/>
  <c r="K130" i="7"/>
  <c r="J130" i="7"/>
  <c r="G130" i="7"/>
  <c r="H130" i="7" s="1"/>
  <c r="E130" i="7"/>
  <c r="K129" i="7"/>
  <c r="L129" i="7" s="1"/>
  <c r="M129" i="7" s="1"/>
  <c r="J129" i="7"/>
  <c r="G129" i="7"/>
  <c r="H129" i="7" s="1"/>
  <c r="E129" i="7"/>
  <c r="F124" i="7"/>
  <c r="C117" i="7"/>
  <c r="E134" i="7" s="1"/>
  <c r="H134" i="7" s="1"/>
  <c r="D65" i="7"/>
  <c r="C65" i="7"/>
  <c r="E65" i="7" s="1"/>
  <c r="D64" i="7"/>
  <c r="C64" i="7"/>
  <c r="E64" i="7" s="1"/>
  <c r="D63" i="7"/>
  <c r="C63" i="7"/>
  <c r="F63" i="7" s="1"/>
  <c r="F62" i="7"/>
  <c r="D62" i="7"/>
  <c r="C62" i="7"/>
  <c r="D61" i="7"/>
  <c r="C61" i="7"/>
  <c r="F61" i="7" s="1"/>
  <c r="D60" i="7"/>
  <c r="C60" i="7"/>
  <c r="F60" i="7" s="1"/>
  <c r="L21" i="7"/>
  <c r="D20" i="7"/>
  <c r="E62" i="7" s="1"/>
  <c r="L19" i="7"/>
  <c r="D18" i="7"/>
  <c r="L14" i="7"/>
  <c r="C84" i="10" l="1"/>
  <c r="C89" i="10" s="1"/>
  <c r="H133" i="7"/>
  <c r="G64" i="7"/>
  <c r="H64" i="7" s="1"/>
  <c r="I64" i="7" s="1"/>
  <c r="G62" i="7"/>
  <c r="H62" i="7" s="1"/>
  <c r="I62" i="7" s="1"/>
  <c r="G65" i="7"/>
  <c r="H65" i="7" s="1"/>
  <c r="I65" i="7" s="1"/>
  <c r="J65" i="7"/>
  <c r="K65" i="7" s="1"/>
  <c r="E61" i="7"/>
  <c r="E60" i="7"/>
  <c r="F65" i="7"/>
  <c r="F64" i="7"/>
  <c r="E63" i="7"/>
  <c r="E109" i="2"/>
  <c r="G92" i="2"/>
  <c r="G63" i="7" l="1"/>
  <c r="H63" i="7" s="1"/>
  <c r="I63" i="7" s="1"/>
  <c r="H60" i="7"/>
  <c r="I60" i="7" s="1"/>
  <c r="G61" i="7"/>
  <c r="H61" i="7" s="1"/>
  <c r="I61" i="7" s="1"/>
  <c r="J62" i="7"/>
  <c r="K62" i="7" s="1"/>
  <c r="J64" i="7"/>
  <c r="K64" i="7" s="1"/>
  <c r="L22" i="2"/>
  <c r="L19" i="2"/>
  <c r="J60" i="7" l="1"/>
  <c r="K60" i="7" s="1"/>
  <c r="J61" i="7"/>
  <c r="K61" i="7" s="1"/>
  <c r="J63" i="7"/>
  <c r="K63" i="7" s="1"/>
  <c r="L17" i="2" l="1"/>
  <c r="L24" i="2"/>
  <c r="E121" i="2" l="1"/>
  <c r="E119" i="2"/>
  <c r="E117" i="2"/>
  <c r="E113" i="2"/>
  <c r="D104" i="2"/>
  <c r="G91" i="2"/>
  <c r="L40" i="2"/>
  <c r="G72" i="2"/>
  <c r="D91" i="2" s="1"/>
  <c r="G58" i="2" l="1"/>
  <c r="G62" i="2" s="1"/>
  <c r="D39" i="2"/>
  <c r="D23" i="2" l="1"/>
  <c r="D25" i="2"/>
  <c r="L36" i="2" l="1"/>
  <c r="M95" i="6"/>
</calcChain>
</file>

<file path=xl/sharedStrings.xml><?xml version="1.0" encoding="utf-8"?>
<sst xmlns="http://schemas.openxmlformats.org/spreadsheetml/2006/main" count="463" uniqueCount="199">
  <si>
    <t xml:space="preserve">Starting with calculating the maximum and minimum mass, which will be then used to calculate the mass flow rate for compressor and turbine </t>
  </si>
  <si>
    <t>V,max vessel</t>
  </si>
  <si>
    <t>P max(bar)</t>
  </si>
  <si>
    <t>P max(kPa)</t>
  </si>
  <si>
    <t>P min(bar)</t>
  </si>
  <si>
    <t>P min(kPa)</t>
  </si>
  <si>
    <t>R air (kJ/kgK)</t>
  </si>
  <si>
    <t>Using equation, PV = MRT</t>
  </si>
  <si>
    <t>T max (K)</t>
  </si>
  <si>
    <t>Mmax kg air</t>
  </si>
  <si>
    <t>Mmin kg air</t>
  </si>
  <si>
    <t>t turbine(hrs/day)</t>
  </si>
  <si>
    <t>t turbine(sec/day)</t>
  </si>
  <si>
    <t>t comp(hrs/day)</t>
  </si>
  <si>
    <t>t comp(sec/day)</t>
  </si>
  <si>
    <t>m dot , comp (kg/s)</t>
  </si>
  <si>
    <t>m dot , turbine (kg/s)</t>
  </si>
  <si>
    <t>Availability analysis for Compressor</t>
  </si>
  <si>
    <t>Tin,comp °C</t>
  </si>
  <si>
    <t>Tin,comp  K</t>
  </si>
  <si>
    <t>Cp,air @ 50 bar (kJ/kgK)</t>
  </si>
  <si>
    <t>Cp,air @ 1 bar (kJ/kgK)</t>
  </si>
  <si>
    <t>hin = Cp,air @ 1 bar * Tin,comp</t>
  </si>
  <si>
    <t>hin (kJ/kg)</t>
  </si>
  <si>
    <t xml:space="preserve">Using first law of thermodynamics, </t>
  </si>
  <si>
    <t>W,in kW</t>
  </si>
  <si>
    <t>h,out (kJ/kgK)</t>
  </si>
  <si>
    <t>T,out = h,out / Cp air @ 50 bar</t>
  </si>
  <si>
    <t>T,out K</t>
  </si>
  <si>
    <t>Availability Ananlysis</t>
  </si>
  <si>
    <t>Q in = 0, since system is insulated</t>
  </si>
  <si>
    <t xml:space="preserve">For calculating B1 - B2: </t>
  </si>
  <si>
    <t xml:space="preserve">Calculating s1 - s2: </t>
  </si>
  <si>
    <t>T1 K</t>
  </si>
  <si>
    <t>T2 K</t>
  </si>
  <si>
    <t>P1 bar</t>
  </si>
  <si>
    <t>P2 bar</t>
  </si>
  <si>
    <t>Cp,air kJ/kgK</t>
  </si>
  <si>
    <t>R0,air kJ/kgK</t>
  </si>
  <si>
    <t xml:space="preserve">s2 - s1 </t>
  </si>
  <si>
    <t>m dot ,air  comp (kg/s)</t>
  </si>
  <si>
    <t>h1 kJ/kg</t>
  </si>
  <si>
    <t>h2 kJ/kg</t>
  </si>
  <si>
    <t>T0</t>
  </si>
  <si>
    <t xml:space="preserve">s1 - s2 </t>
  </si>
  <si>
    <t xml:space="preserve">B1 - B2 </t>
  </si>
  <si>
    <t>For calculating ∆AE:</t>
  </si>
  <si>
    <t>∆AE kW</t>
  </si>
  <si>
    <t>B2 - B1 kW</t>
  </si>
  <si>
    <t xml:space="preserve">Part 2: </t>
  </si>
  <si>
    <t>Part 1:</t>
  </si>
  <si>
    <t xml:space="preserve">Part 3: </t>
  </si>
  <si>
    <t>Availability analysis for Heat Exchanger</t>
  </si>
  <si>
    <t>Activity 1: Individual Component Analysis</t>
  </si>
  <si>
    <t>AIR STREAM</t>
  </si>
  <si>
    <t>WATER STREAM</t>
  </si>
  <si>
    <t>Pa,in bar</t>
  </si>
  <si>
    <t>Ta,in K</t>
  </si>
  <si>
    <t>Pa,out bar</t>
  </si>
  <si>
    <t>Ta,out K</t>
  </si>
  <si>
    <t>Pw,in bar</t>
  </si>
  <si>
    <t>Tw,in K</t>
  </si>
  <si>
    <t>Pw,out bar</t>
  </si>
  <si>
    <t>Tw,out K</t>
  </si>
  <si>
    <t>Q air = Q water</t>
  </si>
  <si>
    <t>m dot water (kg/s)</t>
  </si>
  <si>
    <t>Availability analysis</t>
  </si>
  <si>
    <t>Calculating s2 - s1:</t>
  </si>
  <si>
    <t xml:space="preserve">sh,2 -sh,1 </t>
  </si>
  <si>
    <t xml:space="preserve">sc,2 -sc,1 </t>
  </si>
  <si>
    <t>T0 K</t>
  </si>
  <si>
    <t xml:space="preserve">∆AE </t>
  </si>
  <si>
    <t>Availability analysis for Turbine</t>
  </si>
  <si>
    <t xml:space="preserve">Part 4: </t>
  </si>
  <si>
    <t>Tin,turbine K</t>
  </si>
  <si>
    <t>Pin bar</t>
  </si>
  <si>
    <t>Pout bar</t>
  </si>
  <si>
    <t>gamma</t>
  </si>
  <si>
    <t>equation to find T2,s:</t>
  </si>
  <si>
    <t>(γ-1)/γ</t>
  </si>
  <si>
    <t>T2,s K</t>
  </si>
  <si>
    <t>Using 85 % turbine eff:</t>
  </si>
  <si>
    <t>Tout K</t>
  </si>
  <si>
    <t>Using first thermodynamic law to find Wout:</t>
  </si>
  <si>
    <t>Q = 0</t>
  </si>
  <si>
    <t>m dot air, turbine kg/s</t>
  </si>
  <si>
    <t>Wout,kW</t>
  </si>
  <si>
    <t>Wideal,kW</t>
  </si>
  <si>
    <t>∆AE, kW</t>
  </si>
  <si>
    <t>Cp,air (kJ/kgK)</t>
  </si>
  <si>
    <t>Chane in Pmax vs affected other parameters</t>
  </si>
  <si>
    <t>How change in P max affect parameters- Mmax; m dot comp; m dot turbine;Tout,comp; B2-B1 (of all components); ∆AE (of all components); Wout</t>
  </si>
  <si>
    <t>P,max (bar)</t>
  </si>
  <si>
    <t>T min (K)</t>
  </si>
  <si>
    <t>M,max (kg of air)</t>
  </si>
  <si>
    <t>M,min (kg of air)</t>
  </si>
  <si>
    <t>Cp,air 1bar (kJ/kgK)</t>
  </si>
  <si>
    <t>W,in</t>
  </si>
  <si>
    <t>h,in comp (kJ/kg)</t>
  </si>
  <si>
    <t>h,out comp (kJ/kg)</t>
  </si>
  <si>
    <t>T out,comp (K)</t>
  </si>
  <si>
    <t>T0, (K)</t>
  </si>
  <si>
    <t>P1,comp (bar)</t>
  </si>
  <si>
    <t>B1 - B2 (comp)</t>
  </si>
  <si>
    <t>s1 - s2 (comp) (kJ/kg/K)</t>
  </si>
  <si>
    <t>m,air comp (kg/s)</t>
  </si>
  <si>
    <t>m, air , turbine (kg/s)</t>
  </si>
  <si>
    <t>Optimisation of Compressor</t>
  </si>
  <si>
    <t>`</t>
  </si>
  <si>
    <t>Optimisation of Heat Exchanger</t>
  </si>
  <si>
    <t>mass flow rate, water (kg/s)</t>
  </si>
  <si>
    <t>h,in heat exchanger (kJ/kg)</t>
  </si>
  <si>
    <t>Cp,water (kJ/kgK)</t>
  </si>
  <si>
    <t>sh,2 -sh,1 (kJ/kgK)</t>
  </si>
  <si>
    <t>sc,2 - sc,1 (kJ/kgK)</t>
  </si>
  <si>
    <t>B1-B2,kW</t>
  </si>
  <si>
    <t>Graph of parameters change with change in P,max</t>
  </si>
  <si>
    <t xml:space="preserve">Optimisation of Turbine </t>
  </si>
  <si>
    <t>Q,h = Q,c (kW)</t>
  </si>
  <si>
    <t>Q, kJ</t>
  </si>
  <si>
    <t>kg of water boiled in 14 hour</t>
  </si>
  <si>
    <t>W,real kW</t>
  </si>
  <si>
    <t>W,ideal kW</t>
  </si>
  <si>
    <t>How change in P,vessel,min affect parameters- m dot comp; m dot turbine;Tout,comp; B2-B1 (of all components); ∆AE (of all components); Wout</t>
  </si>
  <si>
    <t xml:space="preserve">Efficiency of system </t>
  </si>
  <si>
    <t>Win = 80 kW</t>
  </si>
  <si>
    <t xml:space="preserve">In Joules, </t>
  </si>
  <si>
    <t xml:space="preserve">W,in </t>
  </si>
  <si>
    <t>W output kW</t>
  </si>
  <si>
    <t>W, output kJ</t>
  </si>
  <si>
    <t>Efficiency of system</t>
  </si>
  <si>
    <t>Change in P,vessel,min vs affected other parameters</t>
  </si>
  <si>
    <t>P,vessel,min is considered in the range of 2 bar to 10 bar, as Mmin is funtion of P,vessel,min</t>
  </si>
  <si>
    <t>V,max (m^3)</t>
  </si>
  <si>
    <t>P,min (bar)</t>
  </si>
  <si>
    <t>M,min (kg)</t>
  </si>
  <si>
    <t>M,max, kg</t>
  </si>
  <si>
    <t>mass flow rate compressor (kg/s)</t>
  </si>
  <si>
    <t>mass flow rate turbine (kg/s)</t>
  </si>
  <si>
    <t>Graph of parameters change with  P,min</t>
  </si>
  <si>
    <t>T, air in heat exchanger (K)</t>
  </si>
  <si>
    <t>h,in air(kJ/kg)</t>
  </si>
  <si>
    <t>T in,air heat exchanger (K)</t>
  </si>
  <si>
    <t>mass flow rate air in heat exchanger (kg/s)</t>
  </si>
  <si>
    <t>mass flow rate water, (kg/s)</t>
  </si>
  <si>
    <t>Tair in - T, out</t>
  </si>
  <si>
    <t>Tair in - T, air,out)</t>
  </si>
  <si>
    <t>Graph of parameters with change in P,max for heat exchanger</t>
  </si>
  <si>
    <t>Graph of parameters with change in P,vessel,min for heat exchanger</t>
  </si>
  <si>
    <t>Graph of parameters with change in P,max for Turbine</t>
  </si>
  <si>
    <t>Graph of parameters with change in P,vessel,min for Turbine</t>
  </si>
  <si>
    <t>P,vessel,min (bar)</t>
  </si>
  <si>
    <t>t,turbine (hrs/day)</t>
  </si>
  <si>
    <t>Vessel size optimization vs affected other parameters</t>
  </si>
  <si>
    <t>Vessel size is considered in range of 100-300 m^3</t>
  </si>
  <si>
    <t>M,max kg air</t>
  </si>
  <si>
    <t>M,min kg air</t>
  </si>
  <si>
    <t>mass flow rate compressor, (kg/s)</t>
  </si>
  <si>
    <t>mass flow rate turbine, (kg/s)</t>
  </si>
  <si>
    <t>Graph of parameters change with Vessel Size</t>
  </si>
  <si>
    <t>Tair in - T, air,out</t>
  </si>
  <si>
    <t>Graph of parameters with change in Vessel size for heat exchanger</t>
  </si>
  <si>
    <t>Vessel Size (m^3)</t>
  </si>
  <si>
    <t>Vessel size (m^3)</t>
  </si>
  <si>
    <t>Graph of parameters with change in Vessel size for Turbine</t>
  </si>
  <si>
    <t>Graph of parameters with change in Vessel size for turbine</t>
  </si>
  <si>
    <t xml:space="preserve">System Design </t>
  </si>
  <si>
    <t>M,max,vessel</t>
  </si>
  <si>
    <t>M,min,vessel</t>
  </si>
  <si>
    <t>Compressor design</t>
  </si>
  <si>
    <t>h,out compressor (kJ/kg)</t>
  </si>
  <si>
    <t>T,air,out compressor (K) = T2</t>
  </si>
  <si>
    <t>s1 - s2</t>
  </si>
  <si>
    <t>B1 - B2, kW</t>
  </si>
  <si>
    <t>Heat Exchanger design</t>
  </si>
  <si>
    <t>mass flow rate water (kg/s)</t>
  </si>
  <si>
    <t xml:space="preserve">sh2 - sh1 </t>
  </si>
  <si>
    <t xml:space="preserve">sc2 - sc1 </t>
  </si>
  <si>
    <t xml:space="preserve">∆AE , kW </t>
  </si>
  <si>
    <t>kg of water boiled</t>
  </si>
  <si>
    <t>Turbine design</t>
  </si>
  <si>
    <t>W,out real</t>
  </si>
  <si>
    <t>W,out ideal</t>
  </si>
  <si>
    <t xml:space="preserve">System Efficiency </t>
  </si>
  <si>
    <t>W,out real, kW</t>
  </si>
  <si>
    <t>W,out real (kJ)</t>
  </si>
  <si>
    <t>W,in kJ</t>
  </si>
  <si>
    <t>System Efficiency</t>
  </si>
  <si>
    <t xml:space="preserve">Q, kJ </t>
  </si>
  <si>
    <t>kg water boiled</t>
  </si>
  <si>
    <t xml:space="preserve">Part 5: </t>
  </si>
  <si>
    <t xml:space="preserve">System efficiency </t>
  </si>
  <si>
    <t>Wreal,kW</t>
  </si>
  <si>
    <t>Wreal,kJ</t>
  </si>
  <si>
    <t>Note: This efficicency is combined for heat used to boil water and electricity output by turbine,. And this also creates a dillema as electricity as output is more valuable than heat</t>
  </si>
  <si>
    <t>For 20 houses</t>
  </si>
  <si>
    <t>Search for kWh required during everning</t>
  </si>
  <si>
    <t>20 kWh</t>
  </si>
  <si>
    <t>25 houses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</si>
</sst>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Nya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0" xfId="0" applyFont="1"/>
    <xf numFmtId="0" fontId="1" fillId="0" borderId="0" xfId="0" applyFont="1" applyAlignment="1"/>
    <xf numFmtId="0" fontId="2" fillId="0" borderId="0" xfId="0" applyFont="1"/>
    <xf numFmtId="10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P,max vs m air, compressor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 P,max vs parameter '!$E$58</c:f>
              <c:strCache>
                <c:ptCount val="1"/>
                <c:pt idx="0">
                  <c:v>m,air comp (kg/s)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P,max vs parameter '!$B$59:$B$65</c:f>
              <c:numCache>
                <c:formatCode>General</c:formatCode>
                <c:ptCount val="7"/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</c:numCache>
            </c:numRef>
          </c:xVal>
          <c:yVal>
            <c:numRef>
              <c:f>' P,max vs parameter '!$E$59:$E$65</c:f>
              <c:numCache>
                <c:formatCode>General</c:formatCode>
                <c:ptCount val="7"/>
                <c:pt idx="1">
                  <c:v>4.292885551027277E-2</c:v>
                </c:pt>
                <c:pt idx="2">
                  <c:v>5.1872367074912933E-2</c:v>
                </c:pt>
                <c:pt idx="3">
                  <c:v>6.0815878639553095E-2</c:v>
                </c:pt>
                <c:pt idx="4">
                  <c:v>6.9759390204193264E-2</c:v>
                </c:pt>
                <c:pt idx="5">
                  <c:v>7.8702901768833419E-2</c:v>
                </c:pt>
                <c:pt idx="6">
                  <c:v>8.7646413333473575E-2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254632"/>
        <c:axId val="288276072"/>
      </c:scatterChart>
      <c:valAx>
        <c:axId val="288254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P,max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276072"/>
        <c:crosses val="autoZero"/>
        <c:crossBetween val="midCat"/>
      </c:valAx>
      <c:valAx>
        <c:axId val="288276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</a:t>
                </a:r>
                <a:r>
                  <a:rPr lang="en-GB" baseline="0"/>
                  <a:t> air compressor, kg/s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254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P,max vs M,max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P,max vs parameter '!$C$58</c:f>
              <c:strCache>
                <c:ptCount val="1"/>
                <c:pt idx="0">
                  <c:v>M,max (kg of air)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P,max vs parameter '!$B$59:$B$65</c:f>
              <c:numCache>
                <c:formatCode>General</c:formatCode>
                <c:ptCount val="7"/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</c:numCache>
            </c:numRef>
          </c:xVal>
          <c:yVal>
            <c:numRef>
              <c:f>' P,max vs parameter '!$C$59:$C$65</c:f>
              <c:numCache>
                <c:formatCode>General</c:formatCode>
                <c:ptCount val="7"/>
                <c:pt idx="1">
                  <c:v>2253.7649142893206</c:v>
                </c:pt>
                <c:pt idx="2">
                  <c:v>2704.5178971471846</c:v>
                </c:pt>
                <c:pt idx="3">
                  <c:v>3155.2708800050486</c:v>
                </c:pt>
                <c:pt idx="4">
                  <c:v>3606.0238628629131</c:v>
                </c:pt>
                <c:pt idx="5">
                  <c:v>4056.7768457207771</c:v>
                </c:pt>
                <c:pt idx="6">
                  <c:v>4507.5298285786412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360624"/>
        <c:axId val="288294192"/>
      </c:scatterChart>
      <c:valAx>
        <c:axId val="28836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P,max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294192"/>
        <c:crosses val="autoZero"/>
        <c:crossBetween val="midCat"/>
      </c:valAx>
      <c:valAx>
        <c:axId val="28829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M,max</a:t>
                </a:r>
                <a:r>
                  <a:rPr lang="en-GB" baseline="0"/>
                  <a:t> kg air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36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P,max vs m air, turbine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P,max vs parameter '!$F$58</c:f>
              <c:strCache>
                <c:ptCount val="1"/>
                <c:pt idx="0">
                  <c:v>m, air , turbine (kg/s)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P,max vs parameter '!$B$59:$B$65</c:f>
              <c:numCache>
                <c:formatCode>General</c:formatCode>
                <c:ptCount val="7"/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</c:numCache>
            </c:numRef>
          </c:xVal>
          <c:yVal>
            <c:numRef>
              <c:f>' P,max vs parameter '!$F$59:$F$65</c:f>
              <c:numCache>
                <c:formatCode>General</c:formatCode>
                <c:ptCount val="7"/>
                <c:pt idx="1">
                  <c:v>0.1502509942859547</c:v>
                </c:pt>
                <c:pt idx="2">
                  <c:v>0.18155328476219526</c:v>
                </c:pt>
                <c:pt idx="3">
                  <c:v>0.21285557523843582</c:v>
                </c:pt>
                <c:pt idx="4">
                  <c:v>0.2441578657146764</c:v>
                </c:pt>
                <c:pt idx="5">
                  <c:v>0.27546015619091696</c:v>
                </c:pt>
                <c:pt idx="6">
                  <c:v>0.30676244666715752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676984"/>
        <c:axId val="288665376"/>
      </c:scatterChart>
      <c:valAx>
        <c:axId val="28867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P,max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65376"/>
        <c:crosses val="autoZero"/>
        <c:crossBetween val="midCat"/>
      </c:valAx>
      <c:valAx>
        <c:axId val="28866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</a:t>
                </a:r>
                <a:r>
                  <a:rPr lang="en-GB" baseline="0"/>
                  <a:t> air,turbine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76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P,max vs T,out compressor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P,max vs parameter '!$H$58</c:f>
              <c:strCache>
                <c:ptCount val="1"/>
                <c:pt idx="0">
                  <c:v>T out,comp (K)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P,max vs parameter '!$B$59:$B$65</c:f>
              <c:numCache>
                <c:formatCode>General</c:formatCode>
                <c:ptCount val="7"/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</c:numCache>
            </c:numRef>
          </c:xVal>
          <c:yVal>
            <c:numRef>
              <c:f>' P,max vs parameter '!$H$59:$H$65</c:f>
              <c:numCache>
                <c:formatCode>General</c:formatCode>
                <c:ptCount val="7"/>
                <c:pt idx="1">
                  <c:v>1916.161135758651</c:v>
                </c:pt>
                <c:pt idx="2">
                  <c:v>1631.0666829850377</c:v>
                </c:pt>
                <c:pt idx="3">
                  <c:v>1429.8235398507229</c:v>
                </c:pt>
                <c:pt idx="4">
                  <c:v>1280.181202648283</c:v>
                </c:pt>
                <c:pt idx="5">
                  <c:v>1164.5484875373072</c:v>
                </c:pt>
                <c:pt idx="6">
                  <c:v>1072.5142857142855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842792"/>
        <c:axId val="288851376"/>
      </c:scatterChart>
      <c:valAx>
        <c:axId val="28884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P,max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851376"/>
        <c:crosses val="autoZero"/>
        <c:crossBetween val="midCat"/>
      </c:valAx>
      <c:valAx>
        <c:axId val="28885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T,out</a:t>
                </a:r>
                <a:r>
                  <a:rPr lang="en-GB" baseline="0"/>
                  <a:t> compressor (K)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842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P,max vs B1 - B2 (comp)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P,max vs parameter '!$J$58</c:f>
              <c:strCache>
                <c:ptCount val="1"/>
                <c:pt idx="0">
                  <c:v>B1 - B2 (comp)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P,max vs parameter '!$B$59:$B$65</c:f>
              <c:numCache>
                <c:formatCode>General</c:formatCode>
                <c:ptCount val="7"/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</c:numCache>
            </c:numRef>
          </c:xVal>
          <c:yVal>
            <c:numRef>
              <c:f>' P,max vs parameter '!$J$59:$J$65</c:f>
              <c:numCache>
                <c:formatCode>General</c:formatCode>
                <c:ptCount val="7"/>
                <c:pt idx="1">
                  <c:v>-67.559655513451247</c:v>
                </c:pt>
                <c:pt idx="2">
                  <c:v>-68.522478790529675</c:v>
                </c:pt>
                <c:pt idx="3">
                  <c:v>-69.976403796035811</c:v>
                </c:pt>
                <c:pt idx="4">
                  <c:v>-71.832199667465588</c:v>
                </c:pt>
                <c:pt idx="5">
                  <c:v>-74.024848311125965</c:v>
                </c:pt>
                <c:pt idx="6">
                  <c:v>-76.505103976693746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445560"/>
        <c:axId val="288897864"/>
      </c:scatterChart>
      <c:valAx>
        <c:axId val="289445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P,max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897864"/>
        <c:crosses val="autoZero"/>
        <c:crossBetween val="midCat"/>
      </c:valAx>
      <c:valAx>
        <c:axId val="288897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B1</a:t>
                </a:r>
                <a:r>
                  <a:rPr lang="en-GB" baseline="0"/>
                  <a:t> - B2, kW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45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P,max vs ∆AE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P,max vs parameter '!$K$58</c:f>
              <c:strCache>
                <c:ptCount val="1"/>
                <c:pt idx="0">
                  <c:v>∆AE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P,max vs parameter '!$B$59:$B$65</c:f>
              <c:numCache>
                <c:formatCode>General</c:formatCode>
                <c:ptCount val="7"/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</c:numCache>
            </c:numRef>
          </c:xVal>
          <c:yVal>
            <c:numRef>
              <c:f>' P,max vs parameter '!$K$59:$K$65</c:f>
              <c:numCache>
                <c:formatCode>General</c:formatCode>
                <c:ptCount val="7"/>
                <c:pt idx="1">
                  <c:v>12.440344486548753</c:v>
                </c:pt>
                <c:pt idx="2">
                  <c:v>11.477521209470325</c:v>
                </c:pt>
                <c:pt idx="3">
                  <c:v>10.023596203964189</c:v>
                </c:pt>
                <c:pt idx="4">
                  <c:v>8.1678003325344122</c:v>
                </c:pt>
                <c:pt idx="5">
                  <c:v>5.9751516888740355</c:v>
                </c:pt>
                <c:pt idx="6">
                  <c:v>3.4948960233062536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46768"/>
        <c:axId val="40343632"/>
      </c:scatterChart>
      <c:valAx>
        <c:axId val="4034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P,max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43632"/>
        <c:crosses val="autoZero"/>
        <c:crossBetween val="midCat"/>
      </c:valAx>
      <c:valAx>
        <c:axId val="4034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∆AE, kW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46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P,max vs mass flow rate,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P,max vs parameter '!$E$127</c:f>
              <c:strCache>
                <c:ptCount val="1"/>
                <c:pt idx="0">
                  <c:v>mass flow rate, water (kg/s)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P,max vs parameter '!$B$128:$B$134</c:f>
              <c:numCache>
                <c:formatCode>General</c:formatCode>
                <c:ptCount val="7"/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</c:numCache>
            </c:numRef>
          </c:xVal>
          <c:yVal>
            <c:numRef>
              <c:f>' P,max vs parameter '!$E$128:$E$134</c:f>
              <c:numCache>
                <c:formatCode>General</c:formatCode>
                <c:ptCount val="7"/>
                <c:pt idx="1">
                  <c:v>0.21947251318702038</c:v>
                </c:pt>
                <c:pt idx="2">
                  <c:v>0.19905838729675013</c:v>
                </c:pt>
                <c:pt idx="3">
                  <c:v>0.17864426140647999</c:v>
                </c:pt>
                <c:pt idx="4">
                  <c:v>0.15823013551620968</c:v>
                </c:pt>
                <c:pt idx="5">
                  <c:v>0.13781600962593948</c:v>
                </c:pt>
                <c:pt idx="6">
                  <c:v>0.11740188373566926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462912"/>
        <c:axId val="289467224"/>
      </c:scatterChart>
      <c:valAx>
        <c:axId val="28946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P,max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7224"/>
        <c:crosses val="autoZero"/>
        <c:crossBetween val="midCat"/>
      </c:valAx>
      <c:valAx>
        <c:axId val="28946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</a:t>
                </a:r>
                <a:r>
                  <a:rPr lang="en-GB" baseline="0"/>
                  <a:t> flow rate water, (kg/s)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2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P,max vs ∆AE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P,max vs parameter '!$H$127</c:f>
              <c:strCache>
                <c:ptCount val="1"/>
                <c:pt idx="0">
                  <c:v>∆AE,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P,max vs parameter '!$B$128:$B$134</c:f>
              <c:numCache>
                <c:formatCode>General</c:formatCode>
                <c:ptCount val="7"/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</c:numCache>
            </c:numRef>
          </c:xVal>
          <c:yVal>
            <c:numRef>
              <c:f>' P,max vs parameter '!$H$128:$H$134</c:f>
              <c:numCache>
                <c:formatCode>General</c:formatCode>
                <c:ptCount val="7"/>
                <c:pt idx="1">
                  <c:v>37.446618227340416</c:v>
                </c:pt>
                <c:pt idx="2">
                  <c:v>32.844892737050216</c:v>
                </c:pt>
                <c:pt idx="3">
                  <c:v>28.604100036880958</c:v>
                </c:pt>
                <c:pt idx="4">
                  <c:v>24.6542699206233</c:v>
                </c:pt>
                <c:pt idx="5">
                  <c:v>20.944668845946396</c:v>
                </c:pt>
                <c:pt idx="6">
                  <c:v>17.437070276218723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464872"/>
        <c:axId val="289461344"/>
      </c:scatterChart>
      <c:valAx>
        <c:axId val="28946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P,max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1344"/>
        <c:crosses val="autoZero"/>
        <c:crossBetween val="midCat"/>
      </c:valAx>
      <c:valAx>
        <c:axId val="2894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∆</a:t>
                </a:r>
                <a:r>
                  <a:rPr lang="en-GB"/>
                  <a:t>AE,kW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4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P,max vs Temperature difference for air stream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P,max vs parameter '!$J$127</c:f>
              <c:strCache>
                <c:ptCount val="1"/>
                <c:pt idx="0">
                  <c:v>Tair in - T, air,out)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P,max vs parameter '!$B$128:$B$134</c:f>
              <c:numCache>
                <c:formatCode>General</c:formatCode>
                <c:ptCount val="7"/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</c:numCache>
            </c:numRef>
          </c:xVal>
          <c:yVal>
            <c:numRef>
              <c:f>' P,max vs parameter '!$J$128:$J$134</c:f>
              <c:numCache>
                <c:formatCode>General</c:formatCode>
                <c:ptCount val="7"/>
                <c:pt idx="1">
                  <c:v>1143.161135758651</c:v>
                </c:pt>
                <c:pt idx="2">
                  <c:v>858.06668298503769</c:v>
                </c:pt>
                <c:pt idx="3">
                  <c:v>656.82353985072291</c:v>
                </c:pt>
                <c:pt idx="4">
                  <c:v>507.18120264828303</c:v>
                </c:pt>
                <c:pt idx="5">
                  <c:v>391.54848753730721</c:v>
                </c:pt>
                <c:pt idx="6">
                  <c:v>299.51428571428551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466048"/>
        <c:axId val="289465264"/>
      </c:scatterChart>
      <c:valAx>
        <c:axId val="2894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P,max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5264"/>
        <c:crosses val="autoZero"/>
        <c:crossBetween val="midCat"/>
      </c:valAx>
      <c:valAx>
        <c:axId val="28946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</a:t>
                </a:r>
                <a:r>
                  <a:rPr lang="en-GB" baseline="0"/>
                  <a:t> difference air (K)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P,max vs kg of water boiled in 14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P,max vs parameter '!$M$127</c:f>
              <c:strCache>
                <c:ptCount val="1"/>
                <c:pt idx="0">
                  <c:v>kg of water boiled in 14 hour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P,max vs parameter '!$B$128:$B$134</c:f>
              <c:numCache>
                <c:formatCode>General</c:formatCode>
                <c:ptCount val="7"/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</c:numCache>
            </c:numRef>
          </c:xVal>
          <c:yVal>
            <c:numRef>
              <c:f>' P,max vs parameter '!$M$128:$M$134</c:f>
              <c:numCache>
                <c:formatCode>General</c:formatCode>
                <c:ptCount val="7"/>
                <c:pt idx="1">
                  <c:v>11061.414664625827</c:v>
                </c:pt>
                <c:pt idx="2">
                  <c:v>10032.542719756208</c:v>
                </c:pt>
                <c:pt idx="3">
                  <c:v>9003.6707748865938</c:v>
                </c:pt>
                <c:pt idx="4">
                  <c:v>7974.7988300169682</c:v>
                </c:pt>
                <c:pt idx="5">
                  <c:v>6945.9268851473498</c:v>
                </c:pt>
                <c:pt idx="6">
                  <c:v>5917.0549402777306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460168"/>
        <c:axId val="289466440"/>
      </c:scatterChart>
      <c:valAx>
        <c:axId val="289460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P,max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6440"/>
        <c:crosses val="autoZero"/>
        <c:crossBetween val="midCat"/>
      </c:valAx>
      <c:valAx>
        <c:axId val="28946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0"/>
                  <a:t>Water boiled, kg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0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P,max vs W,real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P,max vs parameter '!$D$169</c:f>
              <c:strCache>
                <c:ptCount val="1"/>
                <c:pt idx="0">
                  <c:v>W,real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P,max vs parameter '!$B$170:$B$176</c:f>
              <c:numCache>
                <c:formatCode>General</c:formatCode>
                <c:ptCount val="7"/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</c:numCache>
            </c:numRef>
          </c:xVal>
          <c:yVal>
            <c:numRef>
              <c:f>' P,max vs parameter '!$D$170:$D$176</c:f>
              <c:numCache>
                <c:formatCode>General</c:formatCode>
                <c:ptCount val="7"/>
                <c:pt idx="1">
                  <c:v>73.870962800245337</c:v>
                </c:pt>
                <c:pt idx="2">
                  <c:v>89.260746716963126</c:v>
                </c:pt>
                <c:pt idx="3">
                  <c:v>104.6505306336809</c:v>
                </c:pt>
                <c:pt idx="4">
                  <c:v>120.0403145503987</c:v>
                </c:pt>
                <c:pt idx="5">
                  <c:v>135.43009846711647</c:v>
                </c:pt>
                <c:pt idx="6">
                  <c:v>150.81988238383425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465656"/>
        <c:axId val="289463304"/>
      </c:scatterChart>
      <c:valAx>
        <c:axId val="289465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P,max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3304"/>
        <c:crosses val="autoZero"/>
        <c:crossBetween val="midCat"/>
      </c:valAx>
      <c:valAx>
        <c:axId val="28946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W,real</a:t>
                </a:r>
                <a:r>
                  <a:rPr lang="en-GB" baseline="0"/>
                  <a:t> (kW)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5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P,max vs ∆AE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P,max vs parameter '!$F$169</c:f>
              <c:strCache>
                <c:ptCount val="1"/>
                <c:pt idx="0">
                  <c:v>∆AE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P,max vs parameter '!$B$170:$B$176</c:f>
              <c:numCache>
                <c:formatCode>General</c:formatCode>
                <c:ptCount val="7"/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</c:numCache>
            </c:numRef>
          </c:xVal>
          <c:yVal>
            <c:numRef>
              <c:f>' P,max vs parameter '!$F$170:$F$176</c:f>
              <c:numCache>
                <c:formatCode>General</c:formatCode>
                <c:ptCount val="7"/>
                <c:pt idx="1">
                  <c:v>13.036052258866832</c:v>
                </c:pt>
                <c:pt idx="2">
                  <c:v>15.751896479464079</c:v>
                </c:pt>
                <c:pt idx="3">
                  <c:v>18.467740700061327</c:v>
                </c:pt>
                <c:pt idx="4">
                  <c:v>21.183584920658575</c:v>
                </c:pt>
                <c:pt idx="5">
                  <c:v>23.899429141255865</c:v>
                </c:pt>
                <c:pt idx="6">
                  <c:v>26.615273361853099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462128"/>
        <c:axId val="289464480"/>
      </c:scatterChart>
      <c:valAx>
        <c:axId val="28946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P,max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4480"/>
        <c:crosses val="autoZero"/>
        <c:crossBetween val="midCat"/>
      </c:valAx>
      <c:valAx>
        <c:axId val="28946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∆AE , kW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 P,max vs parameter '!$F$211</c:f>
              <c:strCache>
                <c:ptCount val="1"/>
                <c:pt idx="0">
                  <c:v>Efficiency of system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 P,max vs parameter '!$B$212:$B$218</c:f>
              <c:numCache>
                <c:formatCode>General</c:formatCode>
                <c:ptCount val="7"/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</c:numCache>
            </c:numRef>
          </c:xVal>
          <c:yVal>
            <c:numRef>
              <c:f>' P,max vs parameter '!$F$212:$F$218</c:f>
              <c:numCache>
                <c:formatCode>General</c:formatCode>
                <c:ptCount val="7"/>
                <c:pt idx="1">
                  <c:v>0.95516328368284753</c:v>
                </c:pt>
                <c:pt idx="2">
                  <c:v>0.94582230111677412</c:v>
                </c:pt>
                <c:pt idx="3">
                  <c:v>0.93648131855070105</c:v>
                </c:pt>
                <c:pt idx="4">
                  <c:v>0.92714033598462731</c:v>
                </c:pt>
                <c:pt idx="5">
                  <c:v>0.9177993534185539</c:v>
                </c:pt>
                <c:pt idx="6">
                  <c:v>0.90845837085248049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463696"/>
        <c:axId val="328568400"/>
      </c:scatterChart>
      <c:valAx>
        <c:axId val="28946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P,max (bar)</a:t>
                </a:r>
                <a:endParaRPr lang="en-GB" baseline="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8400"/>
        <c:crosses val="autoZero"/>
        <c:crossBetween val="midCat"/>
      </c:valAx>
      <c:valAx>
        <c:axId val="32856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Efficiency</a:t>
                </a:r>
                <a:r>
                  <a:rPr lang="en-GB" baseline="0"/>
                  <a:t> of system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46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P,min</a:t>
            </a:r>
            <a:r>
              <a:rPr lang="en-US" baseline="0"/>
              <a:t> vs M,min,vessel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parameters'!$C$39</c:f>
              <c:strCache>
                <c:ptCount val="1"/>
                <c:pt idx="0">
                  <c:v>M,min (kg)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parameters'!$B$40:$B$49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parameters'!$C$40:$C$49</c:f>
              <c:numCache>
                <c:formatCode>General</c:formatCode>
                <c:ptCount val="10"/>
                <c:pt idx="1">
                  <c:v>90.150596571572819</c:v>
                </c:pt>
                <c:pt idx="2">
                  <c:v>135.22589485735924</c:v>
                </c:pt>
                <c:pt idx="3">
                  <c:v>180.30119314314564</c:v>
                </c:pt>
                <c:pt idx="4">
                  <c:v>225.37649142893207</c:v>
                </c:pt>
                <c:pt idx="5">
                  <c:v>270.45178971471847</c:v>
                </c:pt>
                <c:pt idx="6">
                  <c:v>315.52708800050488</c:v>
                </c:pt>
                <c:pt idx="7">
                  <c:v>360.60238628629128</c:v>
                </c:pt>
                <c:pt idx="8">
                  <c:v>405.67768457207774</c:v>
                </c:pt>
                <c:pt idx="9">
                  <c:v>450.75298285786414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563304"/>
        <c:axId val="328562912"/>
      </c:scatterChart>
      <c:valAx>
        <c:axId val="32856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P,min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2912"/>
        <c:crosses val="autoZero"/>
        <c:crossBetween val="midCat"/>
      </c:valAx>
      <c:valAx>
        <c:axId val="32856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M,min</a:t>
                </a:r>
                <a:r>
                  <a:rPr lang="en-GB" baseline="0"/>
                  <a:t> vessel (kg)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3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P,min</a:t>
            </a:r>
            <a:r>
              <a:rPr lang="en-US" baseline="0"/>
              <a:t> vs Mass flow rate compressor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parameters'!$D$39</c:f>
              <c:strCache>
                <c:ptCount val="1"/>
                <c:pt idx="0">
                  <c:v>mass flow rate compressor (kg/s)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parameters'!$B$40:$B$49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parameters'!$D$40:$D$49</c:f>
              <c:numCache>
                <c:formatCode>General</c:formatCode>
                <c:ptCount val="10"/>
                <c:pt idx="1">
                  <c:v>4.292885551027277E-2</c:v>
                </c:pt>
                <c:pt idx="2">
                  <c:v>4.2034504353808753E-2</c:v>
                </c:pt>
                <c:pt idx="3">
                  <c:v>4.1140153197344743E-2</c:v>
                </c:pt>
                <c:pt idx="4">
                  <c:v>4.0245802040880727E-2</c:v>
                </c:pt>
                <c:pt idx="5">
                  <c:v>3.935145088441671E-2</c:v>
                </c:pt>
                <c:pt idx="6">
                  <c:v>3.8457099727952693E-2</c:v>
                </c:pt>
                <c:pt idx="7">
                  <c:v>3.7562748571488676E-2</c:v>
                </c:pt>
                <c:pt idx="8">
                  <c:v>3.6668397415024659E-2</c:v>
                </c:pt>
                <c:pt idx="9">
                  <c:v>3.5774046258560649E-2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564480"/>
        <c:axId val="328567224"/>
      </c:scatterChart>
      <c:valAx>
        <c:axId val="32856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P,min (bar)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7224"/>
        <c:crosses val="autoZero"/>
        <c:crossBetween val="midCat"/>
      </c:valAx>
      <c:valAx>
        <c:axId val="328567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</a:t>
                </a:r>
                <a:r>
                  <a:rPr lang="en-GB" baseline="0"/>
                  <a:t> flow rate compressor (kg/s)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P,min vs Mass flow rate turbine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parameters'!$E$39</c:f>
              <c:strCache>
                <c:ptCount val="1"/>
                <c:pt idx="0">
                  <c:v>mass flow rate turbine (kg/s)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parameters'!$B$40:$B$49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parameters'!$E$40:$E$49</c:f>
              <c:numCache>
                <c:formatCode>General</c:formatCode>
                <c:ptCount val="10"/>
                <c:pt idx="1">
                  <c:v>0.1502509942859547</c:v>
                </c:pt>
                <c:pt idx="2">
                  <c:v>0.14712076523833065</c:v>
                </c:pt>
                <c:pt idx="3">
                  <c:v>0.14399053619070659</c:v>
                </c:pt>
                <c:pt idx="4">
                  <c:v>0.14086030714308254</c:v>
                </c:pt>
                <c:pt idx="5">
                  <c:v>0.13773007809545848</c:v>
                </c:pt>
                <c:pt idx="6">
                  <c:v>0.13459984904783442</c:v>
                </c:pt>
                <c:pt idx="7">
                  <c:v>0.13146962000021037</c:v>
                </c:pt>
                <c:pt idx="8">
                  <c:v>0.12833939095258631</c:v>
                </c:pt>
                <c:pt idx="9">
                  <c:v>0.12520916190496226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568792"/>
        <c:axId val="328568008"/>
      </c:scatterChart>
      <c:valAx>
        <c:axId val="328568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P,min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8008"/>
        <c:crosses val="autoZero"/>
        <c:crossBetween val="midCat"/>
      </c:valAx>
      <c:valAx>
        <c:axId val="328568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</a:t>
                </a:r>
                <a:r>
                  <a:rPr lang="en-GB" baseline="0"/>
                  <a:t> flow rate turbine ()kg/s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8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parameters'!$G$39</c:f>
              <c:strCache>
                <c:ptCount val="1"/>
                <c:pt idx="0">
                  <c:v>T out,comp (K)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parameters'!$B$40:$B$49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parameters'!$G$40:$G$49</c:f>
              <c:numCache>
                <c:formatCode>General</c:formatCode>
                <c:ptCount val="10"/>
                <c:pt idx="1">
                  <c:v>1916.161135758651</c:v>
                </c:pt>
                <c:pt idx="2">
                  <c:v>1951.3430043987992</c:v>
                </c:pt>
                <c:pt idx="3">
                  <c:v>1988.0545195015623</c:v>
                </c:pt>
                <c:pt idx="4">
                  <c:v>2026.3976574977814</c:v>
                </c:pt>
                <c:pt idx="5">
                  <c:v>2066.4836654029195</c:v>
                </c:pt>
                <c:pt idx="6">
                  <c:v>2108.4341387920181</c:v>
                </c:pt>
                <c:pt idx="7">
                  <c:v>2152.3822537710735</c:v>
                </c:pt>
                <c:pt idx="8">
                  <c:v>2198.4741792369118</c:v>
                </c:pt>
                <c:pt idx="9">
                  <c:v>2246.8707009760424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566048"/>
        <c:axId val="328561344"/>
      </c:scatterChart>
      <c:valAx>
        <c:axId val="32856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P,min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1344"/>
        <c:crosses val="autoZero"/>
        <c:crossBetween val="midCat"/>
      </c:valAx>
      <c:valAx>
        <c:axId val="32856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</a:t>
                </a:r>
                <a:r>
                  <a:rPr lang="en-GB" baseline="0"/>
                  <a:t> outlet compressor (K)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P,min vs ∆AE kW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parameters'!$J$39</c:f>
              <c:strCache>
                <c:ptCount val="1"/>
                <c:pt idx="0">
                  <c:v>∆AE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parameters'!$B$40:$B$49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parameters'!$J$40:$J$49</c:f>
              <c:numCache>
                <c:formatCode>General</c:formatCode>
                <c:ptCount val="10"/>
                <c:pt idx="1">
                  <c:v>12.440344486548753</c:v>
                </c:pt>
                <c:pt idx="2">
                  <c:v>12.43370912082635</c:v>
                </c:pt>
                <c:pt idx="3">
                  <c:v>12.422367253913606</c:v>
                </c:pt>
                <c:pt idx="4">
                  <c:v>12.406188893912713</c:v>
                </c:pt>
                <c:pt idx="5">
                  <c:v>12.385038025443066</c:v>
                </c:pt>
                <c:pt idx="6">
                  <c:v>12.358772195916913</c:v>
                </c:pt>
                <c:pt idx="7">
                  <c:v>12.327242063269551</c:v>
                </c:pt>
                <c:pt idx="8">
                  <c:v>12.290290900551895</c:v>
                </c:pt>
                <c:pt idx="9">
                  <c:v>12.247754052121138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564872"/>
        <c:axId val="328566832"/>
      </c:scatterChart>
      <c:valAx>
        <c:axId val="32856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P,min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6832"/>
        <c:crosses val="autoZero"/>
        <c:crossBetween val="midCat"/>
      </c:valAx>
      <c:valAx>
        <c:axId val="32856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∆AE,kW</a:t>
                </a:r>
                <a:endParaRPr lang="en-GB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4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P,vessel,min</a:t>
            </a:r>
            <a:r>
              <a:rPr lang="en-US" baseline="0"/>
              <a:t> </a:t>
            </a:r>
            <a:r>
              <a:rPr lang="en-US"/>
              <a:t>vs mass flow rate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parameters'!$F$113</c:f>
              <c:strCache>
                <c:ptCount val="1"/>
                <c:pt idx="0">
                  <c:v>mass flow rate water, (kg/s)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parameters'!$B$114:$B$123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parameters'!$F$114:$F$123</c:f>
              <c:numCache>
                <c:formatCode>General</c:formatCode>
                <c:ptCount val="10"/>
                <c:pt idx="1">
                  <c:v>0.21947251318702038</c:v>
                </c:pt>
                <c:pt idx="2">
                  <c:v>0.22151392577604742</c:v>
                </c:pt>
                <c:pt idx="3">
                  <c:v>0.22355533836507446</c:v>
                </c:pt>
                <c:pt idx="4">
                  <c:v>0.22559675095410145</c:v>
                </c:pt>
                <c:pt idx="5">
                  <c:v>0.22763816354312846</c:v>
                </c:pt>
                <c:pt idx="6">
                  <c:v>0.22967957613215551</c:v>
                </c:pt>
                <c:pt idx="7">
                  <c:v>0.23172098872118252</c:v>
                </c:pt>
                <c:pt idx="8">
                  <c:v>0.23376240131020956</c:v>
                </c:pt>
                <c:pt idx="9">
                  <c:v>0.2358038138992366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562128"/>
        <c:axId val="328562520"/>
      </c:scatterChart>
      <c:valAx>
        <c:axId val="32856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P,vessel,min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2520"/>
        <c:crosses val="autoZero"/>
        <c:crossBetween val="midCat"/>
      </c:valAx>
      <c:valAx>
        <c:axId val="32856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</a:t>
                </a:r>
                <a:r>
                  <a:rPr lang="en-GB" baseline="0"/>
                  <a:t> flow rate water, (kg/s)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P,vessel,min vs </a:t>
            </a:r>
            <a:r>
              <a:rPr lang="en-GB"/>
              <a:t>∆AE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parameters'!$H$113</c:f>
              <c:strCache>
                <c:ptCount val="1"/>
                <c:pt idx="0">
                  <c:v>∆AE,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parameters'!$B$114:$B$123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parameters'!$H$114:$H$123</c:f>
              <c:numCache>
                <c:formatCode>General</c:formatCode>
                <c:ptCount val="10"/>
                <c:pt idx="1">
                  <c:v>37.446618227340387</c:v>
                </c:pt>
                <c:pt idx="2">
                  <c:v>37.930179820952745</c:v>
                </c:pt>
                <c:pt idx="3">
                  <c:v>38.418447915755443</c:v>
                </c:pt>
                <c:pt idx="4">
                  <c:v>38.911552503646277</c:v>
                </c:pt>
                <c:pt idx="5">
                  <c:v>39.409629600005871</c:v>
                </c:pt>
                <c:pt idx="6">
                  <c:v>39.912821657421979</c:v>
                </c:pt>
                <c:pt idx="7">
                  <c:v>40.421278017959317</c:v>
                </c:pt>
                <c:pt idx="8">
                  <c:v>40.935155408566921</c:v>
                </c:pt>
                <c:pt idx="9">
                  <c:v>41.454618484887625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376864"/>
        <c:axId val="329377256"/>
      </c:scatterChart>
      <c:valAx>
        <c:axId val="32937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P,vessel,min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7256"/>
        <c:crosses val="autoZero"/>
        <c:crossBetween val="midCat"/>
      </c:valAx>
      <c:valAx>
        <c:axId val="32937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kern="1200" baseline="0">
                    <a:solidFill>
                      <a:srgbClr val="595959"/>
                    </a:solidFill>
                    <a:effectLst/>
                  </a:rPr>
                  <a:t>∆AE,kW</a:t>
                </a:r>
                <a:endParaRPr lang="en-GB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6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P,vessel,min vs </a:t>
            </a:r>
            <a:r>
              <a:rPr lang="en-GB"/>
              <a:t>Tair in - T, 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parameters'!$J$113</c:f>
              <c:strCache>
                <c:ptCount val="1"/>
                <c:pt idx="0">
                  <c:v>Tair in - T, 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parameters'!$B$114:$B$123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parameters'!$J$114:$J$123</c:f>
              <c:numCache>
                <c:formatCode>General</c:formatCode>
                <c:ptCount val="10"/>
                <c:pt idx="1">
                  <c:v>1143.161135758651</c:v>
                </c:pt>
                <c:pt idx="2">
                  <c:v>1178.3430043987992</c:v>
                </c:pt>
                <c:pt idx="3">
                  <c:v>1215.0545195015623</c:v>
                </c:pt>
                <c:pt idx="4">
                  <c:v>1253.3976574977814</c:v>
                </c:pt>
                <c:pt idx="5">
                  <c:v>1293.4836654029195</c:v>
                </c:pt>
                <c:pt idx="6">
                  <c:v>1335.4341387920181</c:v>
                </c:pt>
                <c:pt idx="7">
                  <c:v>1379.3822537710735</c:v>
                </c:pt>
                <c:pt idx="8">
                  <c:v>1425.4741792369118</c:v>
                </c:pt>
                <c:pt idx="9">
                  <c:v>1473.8707009760424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379608"/>
        <c:axId val="329375296"/>
      </c:scatterChart>
      <c:valAx>
        <c:axId val="329379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P,vessel,min (bar)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5296"/>
        <c:crosses val="autoZero"/>
        <c:crossBetween val="midCat"/>
      </c:valAx>
      <c:valAx>
        <c:axId val="32937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</a:t>
                </a:r>
                <a:r>
                  <a:rPr lang="en-GB" baseline="0"/>
                  <a:t> difference, (K)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9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P,vessel,min vs kg of water boiled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parameters'!$M$113</c:f>
              <c:strCache>
                <c:ptCount val="1"/>
                <c:pt idx="0">
                  <c:v>kg of water boiled in 14 hour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parameters'!$B$114:$B$123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parameters'!$M$114:$M$123</c:f>
              <c:numCache>
                <c:formatCode>General</c:formatCode>
                <c:ptCount val="10"/>
                <c:pt idx="1">
                  <c:v>11061.414664625827</c:v>
                </c:pt>
                <c:pt idx="2">
                  <c:v>11164.301859112789</c:v>
                </c:pt>
                <c:pt idx="3">
                  <c:v>11267.189053599752</c:v>
                </c:pt>
                <c:pt idx="4">
                  <c:v>11370.076248086714</c:v>
                </c:pt>
                <c:pt idx="5">
                  <c:v>11472.963442573673</c:v>
                </c:pt>
                <c:pt idx="6">
                  <c:v>11575.850637060637</c:v>
                </c:pt>
                <c:pt idx="7">
                  <c:v>11678.7378315476</c:v>
                </c:pt>
                <c:pt idx="8">
                  <c:v>11781.625026034559</c:v>
                </c:pt>
                <c:pt idx="9">
                  <c:v>11884.512220521525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376472"/>
        <c:axId val="329378432"/>
      </c:scatterChart>
      <c:valAx>
        <c:axId val="329376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P,vessel,min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8432"/>
        <c:crosses val="autoZero"/>
        <c:crossBetween val="midCat"/>
      </c:valAx>
      <c:valAx>
        <c:axId val="32937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water boiled, (kg)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6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P,vessel,min vs W,real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parameters'!$D$176</c:f>
              <c:strCache>
                <c:ptCount val="1"/>
                <c:pt idx="0">
                  <c:v>W,real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parameters'!$B$177:$B$186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parameters'!$D$177:$D$186</c:f>
              <c:numCache>
                <c:formatCode>General</c:formatCode>
                <c:ptCount val="10"/>
                <c:pt idx="1">
                  <c:v>73.870962800245337</c:v>
                </c:pt>
                <c:pt idx="2">
                  <c:v>72.331984408573561</c:v>
                </c:pt>
                <c:pt idx="3">
                  <c:v>70.793006016901799</c:v>
                </c:pt>
                <c:pt idx="4">
                  <c:v>69.254027625230009</c:v>
                </c:pt>
                <c:pt idx="5">
                  <c:v>67.715049233558233</c:v>
                </c:pt>
                <c:pt idx="6">
                  <c:v>66.176070841886457</c:v>
                </c:pt>
                <c:pt idx="7">
                  <c:v>64.637092450214681</c:v>
                </c:pt>
                <c:pt idx="8">
                  <c:v>63.098114058542905</c:v>
                </c:pt>
                <c:pt idx="9">
                  <c:v>61.559135666871121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376080"/>
        <c:axId val="329372160"/>
      </c:scatterChart>
      <c:valAx>
        <c:axId val="32937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P,vessel,min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2160"/>
        <c:crosses val="autoZero"/>
        <c:crossBetween val="midCat"/>
      </c:valAx>
      <c:valAx>
        <c:axId val="32937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W,real kW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P,vessel,min vs Efficiency of system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parameters'!$G$229</c:f>
              <c:strCache>
                <c:ptCount val="1"/>
                <c:pt idx="0">
                  <c:v>Efficiency of system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parameters'!$C$230:$C$239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parameters'!$G$230:$G$239</c:f>
              <c:numCache>
                <c:formatCode>General</c:formatCode>
                <c:ptCount val="10"/>
                <c:pt idx="1">
                  <c:v>0.95516328368284753</c:v>
                </c:pt>
                <c:pt idx="2">
                  <c:v>0.95609738193945482</c:v>
                </c:pt>
                <c:pt idx="3">
                  <c:v>0.95703148019606232</c:v>
                </c:pt>
                <c:pt idx="4">
                  <c:v>0.95796557845266972</c:v>
                </c:pt>
                <c:pt idx="5">
                  <c:v>0.95889967670927689</c:v>
                </c:pt>
                <c:pt idx="6">
                  <c:v>0.9598337749658844</c:v>
                </c:pt>
                <c:pt idx="7">
                  <c:v>0.96076787322249169</c:v>
                </c:pt>
                <c:pt idx="8">
                  <c:v>0.96170197147909886</c:v>
                </c:pt>
                <c:pt idx="9">
                  <c:v>0.96263606973570637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372552"/>
        <c:axId val="329372944"/>
      </c:scatterChart>
      <c:valAx>
        <c:axId val="329372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P,vessel,min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2944"/>
        <c:crosses val="autoZero"/>
        <c:crossBetween val="midCat"/>
      </c:valAx>
      <c:valAx>
        <c:axId val="329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Efficiency of system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2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parameters'!$I$39</c:f>
              <c:strCache>
                <c:ptCount val="1"/>
                <c:pt idx="0">
                  <c:v>B1 - B2 (comp)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parameters'!$B$40:$B$49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parameters'!$I$40:$I$49</c:f>
              <c:numCache>
                <c:formatCode>General</c:formatCode>
                <c:ptCount val="10"/>
                <c:pt idx="1">
                  <c:v>-67.559655513451247</c:v>
                </c:pt>
                <c:pt idx="2">
                  <c:v>-67.56629087917365</c:v>
                </c:pt>
                <c:pt idx="3">
                  <c:v>-67.577632746086394</c:v>
                </c:pt>
                <c:pt idx="4">
                  <c:v>-67.593811106087287</c:v>
                </c:pt>
                <c:pt idx="5">
                  <c:v>-67.614961974556934</c:v>
                </c:pt>
                <c:pt idx="6">
                  <c:v>-67.641227804083087</c:v>
                </c:pt>
                <c:pt idx="7">
                  <c:v>-67.672757936730449</c:v>
                </c:pt>
                <c:pt idx="8">
                  <c:v>-67.709709099448105</c:v>
                </c:pt>
                <c:pt idx="9">
                  <c:v>-67.752245947878862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379216"/>
        <c:axId val="329373336"/>
      </c:scatterChart>
      <c:valAx>
        <c:axId val="329379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P,min (bar)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3336"/>
        <c:crosses val="autoZero"/>
        <c:crossBetween val="midCat"/>
      </c:valAx>
      <c:valAx>
        <c:axId val="32937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B1-B2,</a:t>
                </a:r>
                <a:r>
                  <a:rPr lang="en-GB" baseline="0"/>
                  <a:t> kW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9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parameters'!$D$113</c:f>
              <c:strCache>
                <c:ptCount val="1"/>
                <c:pt idx="0">
                  <c:v>T in,air heat exchanger (K)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parameters'!$B$114:$B$123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parameters'!$D$114:$D$123</c:f>
              <c:numCache>
                <c:formatCode>General</c:formatCode>
                <c:ptCount val="10"/>
                <c:pt idx="1">
                  <c:v>1916.161135758651</c:v>
                </c:pt>
                <c:pt idx="2">
                  <c:v>1951.3430043987992</c:v>
                </c:pt>
                <c:pt idx="3">
                  <c:v>1988.0545195015623</c:v>
                </c:pt>
                <c:pt idx="4">
                  <c:v>2026.3976574977814</c:v>
                </c:pt>
                <c:pt idx="5">
                  <c:v>2066.4836654029195</c:v>
                </c:pt>
                <c:pt idx="6">
                  <c:v>2108.4341387920181</c:v>
                </c:pt>
                <c:pt idx="7">
                  <c:v>2152.3822537710735</c:v>
                </c:pt>
                <c:pt idx="8">
                  <c:v>2198.4741792369118</c:v>
                </c:pt>
                <c:pt idx="9">
                  <c:v>2246.8707009760424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374512"/>
        <c:axId val="329374904"/>
      </c:scatterChart>
      <c:valAx>
        <c:axId val="32937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P,vessel,min (bar)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4904"/>
        <c:crosses val="autoZero"/>
        <c:crossBetween val="midCat"/>
      </c:valAx>
      <c:valAx>
        <c:axId val="32937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  <a:r>
                  <a:rPr lang="en-GB" baseline="0"/>
                  <a:t> in,air , K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37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P,vessel,min vs W,real and ∆AE</a:t>
            </a:r>
            <a:r>
              <a:rPr lang="en-GB" baseline="0"/>
              <a:t> </a:t>
            </a:r>
            <a:endParaRPr lang="en-GB"/>
          </a:p>
        </c:rich>
      </c:tx>
      <c:layout>
        <c:manualLayout>
          <c:xMode val="edge"/>
          <c:yMode val="edge"/>
          <c:x val="0.2788471128608923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'P,vessel,min vs parameters'!$D$176</c:f>
              <c:strCache>
                <c:ptCount val="1"/>
                <c:pt idx="0">
                  <c:v>W,real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'P,vessel,min vs parameters'!$B$177:$B$186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parameters'!$D$177:$D$186</c:f>
              <c:numCache>
                <c:formatCode>General</c:formatCode>
                <c:ptCount val="10"/>
                <c:pt idx="1">
                  <c:v>73.870962800245337</c:v>
                </c:pt>
                <c:pt idx="2">
                  <c:v>72.331984408573561</c:v>
                </c:pt>
                <c:pt idx="3">
                  <c:v>70.793006016901799</c:v>
                </c:pt>
                <c:pt idx="4">
                  <c:v>69.254027625230009</c:v>
                </c:pt>
                <c:pt idx="5">
                  <c:v>67.715049233558233</c:v>
                </c:pt>
                <c:pt idx="6">
                  <c:v>66.176070841886457</c:v>
                </c:pt>
                <c:pt idx="7">
                  <c:v>64.637092450214681</c:v>
                </c:pt>
                <c:pt idx="8">
                  <c:v>63.098114058542905</c:v>
                </c:pt>
                <c:pt idx="9">
                  <c:v>61.559135666871121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'P,vessel,min vs parameters'!$F$176</c:f>
              <c:strCache>
                <c:ptCount val="1"/>
                <c:pt idx="0">
                  <c:v>∆AE kW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'P,vessel,min vs parameters'!$B$177:$B$186</c:f>
              <c:numCache>
                <c:formatCode>General</c:formatCode>
                <c:ptCount val="10"/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'P,vessel,min vs parameters'!$F$177:$F$186</c:f>
              <c:numCache>
                <c:formatCode>General</c:formatCode>
                <c:ptCount val="10"/>
                <c:pt idx="1">
                  <c:v>13.036052258866832</c:v>
                </c:pt>
                <c:pt idx="2">
                  <c:v>12.7644678368071</c:v>
                </c:pt>
                <c:pt idx="3">
                  <c:v>12.492883414747368</c:v>
                </c:pt>
                <c:pt idx="4">
                  <c:v>12.22129899268765</c:v>
                </c:pt>
                <c:pt idx="5">
                  <c:v>11.949714570627933</c:v>
                </c:pt>
                <c:pt idx="6">
                  <c:v>11.678130148568187</c:v>
                </c:pt>
                <c:pt idx="7">
                  <c:v>11.406545726508469</c:v>
                </c:pt>
                <c:pt idx="8">
                  <c:v>11.134961304448751</c:v>
                </c:pt>
                <c:pt idx="9">
                  <c:v>10.863376882389026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547400"/>
        <c:axId val="329548576"/>
      </c:scatterChart>
      <c:valAx>
        <c:axId val="329547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P,min,vessel</a:t>
                </a:r>
                <a:r>
                  <a:rPr lang="en-GB" baseline="0"/>
                  <a:t> (bar)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48576"/>
        <c:crosses val="autoZero"/>
        <c:crossBetween val="midCat"/>
      </c:valAx>
      <c:valAx>
        <c:axId val="3295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47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V,max,vessel vs mass flow rate compressor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'Vessel size optimisation'!$C$30</c:f>
              <c:strCache>
                <c:ptCount val="1"/>
                <c:pt idx="0">
                  <c:v>mass flow rate compressor, (kg/s)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'Vessel size optimisation'!$B$31:$B$37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optimisation'!$C$31:$C$37</c:f>
              <c:numCache>
                <c:formatCode>General</c:formatCode>
                <c:ptCount val="7"/>
                <c:pt idx="1">
                  <c:v>4.292885551027277E-2</c:v>
                </c:pt>
                <c:pt idx="2">
                  <c:v>6.010039771438188E-2</c:v>
                </c:pt>
                <c:pt idx="3">
                  <c:v>7.7271939918490989E-2</c:v>
                </c:pt>
                <c:pt idx="4">
                  <c:v>9.4443482122600106E-2</c:v>
                </c:pt>
                <c:pt idx="5">
                  <c:v>0.11161502432670921</c:v>
                </c:pt>
                <c:pt idx="6">
                  <c:v>0.12878656653081832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549752"/>
        <c:axId val="329546616"/>
      </c:scatterChart>
      <c:valAx>
        <c:axId val="329549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V,max</a:t>
                </a:r>
                <a:r>
                  <a:rPr lang="en-GB" baseline="0"/>
                  <a:t> ,vessel (m^3)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46616"/>
        <c:crosses val="autoZero"/>
        <c:crossBetween val="midCat"/>
      </c:valAx>
      <c:valAx>
        <c:axId val="32954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</a:t>
                </a:r>
                <a:r>
                  <a:rPr lang="en-GB" baseline="0"/>
                  <a:t> flow rate compressor, (kg/s)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49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V,max,vessel vs mass flow rate turbine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'Vessel size optimisation'!$D$30</c:f>
              <c:strCache>
                <c:ptCount val="1"/>
                <c:pt idx="0">
                  <c:v>mass flow rate turbine, (kg/s)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'Vessel size optimisation'!$B$31:$B$37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optimisation'!$D$31:$D$37</c:f>
              <c:numCache>
                <c:formatCode>General</c:formatCode>
                <c:ptCount val="7"/>
                <c:pt idx="1">
                  <c:v>0.1502509942859547</c:v>
                </c:pt>
                <c:pt idx="2">
                  <c:v>0.21035139200033659</c:v>
                </c:pt>
                <c:pt idx="3">
                  <c:v>0.2704517897147185</c:v>
                </c:pt>
                <c:pt idx="4">
                  <c:v>0.33055218742910036</c:v>
                </c:pt>
                <c:pt idx="5">
                  <c:v>0.39065258514348222</c:v>
                </c:pt>
                <c:pt idx="6">
                  <c:v>0.45075298285786408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549360"/>
        <c:axId val="329547792"/>
      </c:scatterChart>
      <c:valAx>
        <c:axId val="329549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V,max,vessel (m^3)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47792"/>
        <c:crosses val="autoZero"/>
        <c:crossBetween val="midCat"/>
      </c:valAx>
      <c:valAx>
        <c:axId val="32954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</a:t>
                </a:r>
                <a:r>
                  <a:rPr lang="en-GB" baseline="0"/>
                  <a:t> flow rate turbine, (kg/s)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49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V,max,vessel vs T out,comp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'Vessel size optimisation'!$F$30</c:f>
              <c:strCache>
                <c:ptCount val="1"/>
                <c:pt idx="0">
                  <c:v>T out,comp (K)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'Vessel size optimisation'!$B$31:$B$37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optimisation'!$F$31:$F$37</c:f>
              <c:numCache>
                <c:formatCode>General</c:formatCode>
                <c:ptCount val="7"/>
                <c:pt idx="1">
                  <c:v>1916.161135758651</c:v>
                </c:pt>
                <c:pt idx="2">
                  <c:v>1443.7188997338064</c:v>
                </c:pt>
                <c:pt idx="3">
                  <c:v>1181.2509908311149</c:v>
                </c:pt>
                <c:pt idx="4">
                  <c:v>1014.2259578930386</c:v>
                </c:pt>
                <c:pt idx="5">
                  <c:v>898.59324278206259</c:v>
                </c:pt>
                <c:pt idx="6">
                  <c:v>813.79591836734687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550928"/>
        <c:axId val="329545440"/>
      </c:scatterChart>
      <c:valAx>
        <c:axId val="32955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V,max,vessel (m^3)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45440"/>
        <c:crosses val="autoZero"/>
        <c:crossBetween val="midCat"/>
      </c:valAx>
      <c:valAx>
        <c:axId val="32954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T,out,compressor</a:t>
                </a:r>
                <a:r>
                  <a:rPr lang="en-GB" baseline="0"/>
                  <a:t> (K)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V,max,vessel vs B1 - B2 (comp)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'Vessel size optimisation'!$H$30</c:f>
              <c:strCache>
                <c:ptCount val="1"/>
                <c:pt idx="0">
                  <c:v>B1 - B2 (comp)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'Vessel size optimisation'!$B$31:$B$37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optimisation'!$H$31:$H$37</c:f>
              <c:numCache>
                <c:formatCode>General</c:formatCode>
                <c:ptCount val="7"/>
                <c:pt idx="1">
                  <c:v>-67.559655513451247</c:v>
                </c:pt>
                <c:pt idx="2">
                  <c:v>-68.201895445345528</c:v>
                </c:pt>
                <c:pt idx="3">
                  <c:v>-69.950759777745262</c:v>
                </c:pt>
                <c:pt idx="4">
                  <c:v>-72.471890773878556</c:v>
                </c:pt>
                <c:pt idx="5">
                  <c:v>-75.564643219150753</c:v>
                </c:pt>
                <c:pt idx="6">
                  <c:v>-79.097567636943793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551320"/>
        <c:axId val="329551712"/>
      </c:scatterChart>
      <c:valAx>
        <c:axId val="329551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V,vessel,max</a:t>
                </a:r>
                <a:r>
                  <a:rPr lang="en-GB" baseline="0"/>
                  <a:t> (m^3)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1712"/>
        <c:crosses val="autoZero"/>
        <c:crossBetween val="midCat"/>
      </c:valAx>
      <c:valAx>
        <c:axId val="3295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kern="1200" spc="0" baseline="0">
                    <a:solidFill>
                      <a:srgbClr val="595959"/>
                    </a:solidFill>
                    <a:effectLst/>
                  </a:rPr>
                  <a:t>B1 - B2 (comp), kW</a:t>
                </a:r>
                <a:endParaRPr lang="en-GB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1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V,max,vessel vs ∆AE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'Vessel size optimisation'!$I$30</c:f>
              <c:strCache>
                <c:ptCount val="1"/>
                <c:pt idx="0">
                  <c:v>∆AE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'Vessel size optimisation'!$B$31:$B$37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optimisation'!$I$31:$I$37</c:f>
              <c:numCache>
                <c:formatCode>General</c:formatCode>
                <c:ptCount val="7"/>
                <c:pt idx="1">
                  <c:v>12.440344486548753</c:v>
                </c:pt>
                <c:pt idx="2">
                  <c:v>11.798104554654472</c:v>
                </c:pt>
                <c:pt idx="3">
                  <c:v>10.049240222254738</c:v>
                </c:pt>
                <c:pt idx="4">
                  <c:v>7.528109226121444</c:v>
                </c:pt>
                <c:pt idx="5">
                  <c:v>4.4353567808492471</c:v>
                </c:pt>
                <c:pt idx="6">
                  <c:v>0.90243236305620655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544656"/>
        <c:axId val="329545832"/>
      </c:scatterChart>
      <c:valAx>
        <c:axId val="32954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V,max,vessel (m^3)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45832"/>
        <c:crosses val="autoZero"/>
        <c:crossBetween val="midCat"/>
      </c:valAx>
      <c:valAx>
        <c:axId val="32954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∆AE kW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4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V,max,vessel vs Mass</a:t>
            </a:r>
            <a:r>
              <a:rPr lang="en-GB" baseline="0"/>
              <a:t> of air (max,min)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'Vessel size optimisation'!$C$17</c:f>
              <c:strCache>
                <c:ptCount val="1"/>
                <c:pt idx="0">
                  <c:v>M,max kg air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'Vessel size optimisation'!$B$18:$B$24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optimisation'!$C$18:$C$24</c:f>
              <c:numCache>
                <c:formatCode>General</c:formatCode>
                <c:ptCount val="7"/>
                <c:pt idx="1">
                  <c:v>2253.7649142893206</c:v>
                </c:pt>
                <c:pt idx="2">
                  <c:v>3155.2708800050486</c:v>
                </c:pt>
                <c:pt idx="3">
                  <c:v>4056.7768457207771</c:v>
                </c:pt>
                <c:pt idx="4">
                  <c:v>4958.2828114365057</c:v>
                </c:pt>
                <c:pt idx="5">
                  <c:v>5859.7887771522337</c:v>
                </c:pt>
                <c:pt idx="6">
                  <c:v>6761.2947428679618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'Vessel size optimisation'!$D$17</c:f>
              <c:strCache>
                <c:ptCount val="1"/>
                <c:pt idx="0">
                  <c:v>M,min kg air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'Vessel size optimisation'!$B$18:$B$24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optimisation'!$D$18:$D$24</c:f>
              <c:numCache>
                <c:formatCode>General</c:formatCode>
                <c:ptCount val="7"/>
                <c:pt idx="1">
                  <c:v>90.150596571572819</c:v>
                </c:pt>
                <c:pt idx="2">
                  <c:v>126.21083520020196</c:v>
                </c:pt>
                <c:pt idx="3">
                  <c:v>162.27107382883108</c:v>
                </c:pt>
                <c:pt idx="4">
                  <c:v>198.3313124574602</c:v>
                </c:pt>
                <c:pt idx="5">
                  <c:v>234.39155108608935</c:v>
                </c:pt>
                <c:pt idx="6">
                  <c:v>270.45178971471847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546224"/>
        <c:axId val="288622008"/>
      </c:scatterChart>
      <c:valAx>
        <c:axId val="32954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V,max</a:t>
                </a:r>
                <a:r>
                  <a:rPr lang="en-GB" baseline="0"/>
                  <a:t>,vessel (m^3)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22008"/>
        <c:crosses val="autoZero"/>
        <c:crossBetween val="midCat"/>
      </c:valAx>
      <c:valAx>
        <c:axId val="288622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</a:t>
                </a:r>
                <a:r>
                  <a:rPr lang="en-GB" baseline="0"/>
                  <a:t> in kg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46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Vessel Size vs T in,air heat exchanger (K)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'Vessel size optimisation'!$D$97</c:f>
              <c:strCache>
                <c:ptCount val="1"/>
                <c:pt idx="0">
                  <c:v>T in,air heat exchanger (K)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'Vessel size optimisation'!$B$98:$B$104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optimisation'!$D$98:$D$104</c:f>
              <c:numCache>
                <c:formatCode>General</c:formatCode>
                <c:ptCount val="7"/>
                <c:pt idx="1">
                  <c:v>1916.161135758651</c:v>
                </c:pt>
                <c:pt idx="2">
                  <c:v>1443.7188997338064</c:v>
                </c:pt>
                <c:pt idx="3">
                  <c:v>1181.2509908311149</c:v>
                </c:pt>
                <c:pt idx="4">
                  <c:v>1014.2259578930386</c:v>
                </c:pt>
                <c:pt idx="5">
                  <c:v>898.59324278206259</c:v>
                </c:pt>
                <c:pt idx="6">
                  <c:v>813.79591836734687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625928"/>
        <c:axId val="288620440"/>
      </c:scatterChart>
      <c:valAx>
        <c:axId val="288625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Vessel Size </a:t>
                </a:r>
                <a:r>
                  <a:rPr lang="en-GB"/>
                  <a:t> (m^3)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20440"/>
        <c:crosses val="autoZero"/>
        <c:crossBetween val="midCat"/>
      </c:valAx>
      <c:valAx>
        <c:axId val="28862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</a:t>
                </a:r>
                <a:r>
                  <a:rPr lang="en-GB" baseline="0"/>
                  <a:t> in,air Heat Exchanger (K)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25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Vessel size vs mass flow rate water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'Vessel size optimisation'!$F$97</c:f>
              <c:strCache>
                <c:ptCount val="1"/>
                <c:pt idx="0">
                  <c:v>mass flow rate water, (kg/s)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'Vessel size optimisation'!$B$98:$B$104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optimisation'!$F$98:$F$104</c:f>
              <c:numCache>
                <c:formatCode>General</c:formatCode>
                <c:ptCount val="7"/>
                <c:pt idx="1">
                  <c:v>0.21947251318702038</c:v>
                </c:pt>
                <c:pt idx="2">
                  <c:v>0.18027739147770158</c:v>
                </c:pt>
                <c:pt idx="3">
                  <c:v>0.14108226976838273</c:v>
                </c:pt>
                <c:pt idx="4">
                  <c:v>0.10188714805906396</c:v>
                </c:pt>
                <c:pt idx="5">
                  <c:v>6.2692026349745078E-2</c:v>
                </c:pt>
                <c:pt idx="6">
                  <c:v>2.3496904640426256E-2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627888"/>
        <c:axId val="288627104"/>
      </c:scatterChart>
      <c:valAx>
        <c:axId val="28862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Vessel Size </a:t>
                </a:r>
                <a:r>
                  <a:rPr lang="en-GB"/>
                  <a:t> (m^3)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27104"/>
        <c:crosses val="autoZero"/>
        <c:crossBetween val="midCat"/>
      </c:valAx>
      <c:valAx>
        <c:axId val="28862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</a:t>
                </a:r>
                <a:r>
                  <a:rPr lang="en-GB" baseline="0"/>
                  <a:t> Flow rate water, kg/s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2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Vessel</a:t>
            </a:r>
            <a:r>
              <a:rPr lang="en-US" baseline="0"/>
              <a:t> Size </a:t>
            </a:r>
            <a:r>
              <a:rPr lang="en-US"/>
              <a:t>vs ∆AE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'Vessel size optimisation'!$H$97</c:f>
              <c:strCache>
                <c:ptCount val="1"/>
                <c:pt idx="0">
                  <c:v>∆AE,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'Vessel size optimisation'!$B$98:$B$104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optimisation'!$H$98:$H$104</c:f>
              <c:numCache>
                <c:formatCode>General</c:formatCode>
                <c:ptCount val="7"/>
                <c:pt idx="1">
                  <c:v>37.446618227340387</c:v>
                </c:pt>
                <c:pt idx="2">
                  <c:v>28.931874583747557</c:v>
                </c:pt>
                <c:pt idx="3">
                  <c:v>21.523755340660188</c:v>
                </c:pt>
                <c:pt idx="4">
                  <c:v>14.887902761306357</c:v>
                </c:pt>
                <c:pt idx="5">
                  <c:v>8.8236716310914431</c:v>
                </c:pt>
                <c:pt idx="6">
                  <c:v>3.1996124733973654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623184"/>
        <c:axId val="288620832"/>
      </c:scatterChart>
      <c:valAx>
        <c:axId val="28862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Vessel Size </a:t>
                </a:r>
                <a:r>
                  <a:rPr lang="en-GB"/>
                  <a:t> (m^3)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20832"/>
        <c:crosses val="autoZero"/>
        <c:crossBetween val="midCat"/>
      </c:valAx>
      <c:valAx>
        <c:axId val="28862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∆AE, kW</a:t>
                </a:r>
                <a:endParaRPr lang="en-GB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2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Vessel Size vs water</a:t>
            </a:r>
            <a:r>
              <a:rPr lang="en-GB" baseline="0"/>
              <a:t> boiled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'Vessel size optimisation'!$M$97</c:f>
              <c:strCache>
                <c:ptCount val="1"/>
                <c:pt idx="0">
                  <c:v>kg of water boiled in 14 hour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'Vessel size optimisation'!$B$98:$B$104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optimisation'!$M$98:$M$104</c:f>
              <c:numCache>
                <c:formatCode>General</c:formatCode>
                <c:ptCount val="7"/>
                <c:pt idx="1">
                  <c:v>11061.414664625827</c:v>
                </c:pt>
                <c:pt idx="2">
                  <c:v>9085.9805304761594</c:v>
                </c:pt>
                <c:pt idx="3">
                  <c:v>7110.5463963264901</c:v>
                </c:pt>
                <c:pt idx="4">
                  <c:v>5135.1122621768236</c:v>
                </c:pt>
                <c:pt idx="5">
                  <c:v>3159.6781280271534</c:v>
                </c:pt>
                <c:pt idx="6">
                  <c:v>1184.2439938774851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621616"/>
        <c:axId val="288627496"/>
      </c:scatterChart>
      <c:valAx>
        <c:axId val="288621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Vessel</a:t>
                </a:r>
                <a:r>
                  <a:rPr lang="en-GB" baseline="0"/>
                  <a:t> Size (m^3)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27496"/>
        <c:crosses val="autoZero"/>
        <c:crossBetween val="midCat"/>
      </c:valAx>
      <c:valAx>
        <c:axId val="28862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Water</a:t>
                </a:r>
                <a:r>
                  <a:rPr lang="en-GB" baseline="0"/>
                  <a:t> boiled, (kg)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21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Vessel Size vs</a:t>
            </a:r>
            <a:r>
              <a:rPr lang="en-GB" baseline="0"/>
              <a:t> </a:t>
            </a:r>
            <a:r>
              <a:rPr lang="en-GB"/>
              <a:t>W,real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'Vessel size optimisation'!$D$160</c:f>
              <c:strCache>
                <c:ptCount val="1"/>
                <c:pt idx="0">
                  <c:v>W,real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'Vessel size optimisation'!$B$161:$B$167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optimisation'!$D$161:$D$167</c:f>
              <c:numCache>
                <c:formatCode>General</c:formatCode>
                <c:ptCount val="7"/>
                <c:pt idx="1">
                  <c:v>73.870962800245337</c:v>
                </c:pt>
                <c:pt idx="2">
                  <c:v>103.41934792034348</c:v>
                </c:pt>
                <c:pt idx="3">
                  <c:v>132.96773304044163</c:v>
                </c:pt>
                <c:pt idx="4">
                  <c:v>162.51611816053978</c:v>
                </c:pt>
                <c:pt idx="5">
                  <c:v>192.06450328063789</c:v>
                </c:pt>
                <c:pt idx="6">
                  <c:v>221.61288840073604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626320"/>
        <c:axId val="288622792"/>
      </c:scatterChart>
      <c:valAx>
        <c:axId val="2886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Vessel Size, ( m^3)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22792"/>
        <c:crosses val="autoZero"/>
        <c:crossBetween val="midCat"/>
      </c:valAx>
      <c:valAx>
        <c:axId val="28862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W,real kW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Vessel Size vs Efficiency of system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'Vessel size optimisation'!$G$196</c:f>
              <c:strCache>
                <c:ptCount val="1"/>
                <c:pt idx="0">
                  <c:v>Efficiency of system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'Vessel size optimisation'!$C$197:$C$203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optimisation'!$G$197:$G$203</c:f>
              <c:numCache>
                <c:formatCode>General</c:formatCode>
                <c:ptCount val="7"/>
                <c:pt idx="1">
                  <c:v>0.95516328368284753</c:v>
                </c:pt>
                <c:pt idx="2">
                  <c:v>0.93722859715598672</c:v>
                </c:pt>
                <c:pt idx="3">
                  <c:v>0.91929391062912569</c:v>
                </c:pt>
                <c:pt idx="4">
                  <c:v>0.90135922410226488</c:v>
                </c:pt>
                <c:pt idx="5">
                  <c:v>0.88342453757540385</c:v>
                </c:pt>
                <c:pt idx="6">
                  <c:v>0.86548985104854292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623576"/>
        <c:axId val="288623968"/>
      </c:scatterChart>
      <c:valAx>
        <c:axId val="288623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Vessel Size, (m^3)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23968"/>
        <c:crosses val="autoZero"/>
        <c:crossBetween val="midCat"/>
      </c:valAx>
      <c:valAx>
        <c:axId val="2886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Efficiency of system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623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Vessel Size vs W,real and ∆AE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'Vessel size optimisation'!$D$160</c:f>
              <c:strCache>
                <c:ptCount val="1"/>
                <c:pt idx="0">
                  <c:v>W,real kW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'Vessel size optimisation'!$B$161:$B$167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optimisation'!$D$161:$D$167</c:f>
              <c:numCache>
                <c:formatCode>General</c:formatCode>
                <c:ptCount val="7"/>
                <c:pt idx="1">
                  <c:v>73.870962800245337</c:v>
                </c:pt>
                <c:pt idx="2">
                  <c:v>103.41934792034348</c:v>
                </c:pt>
                <c:pt idx="3">
                  <c:v>132.96773304044163</c:v>
                </c:pt>
                <c:pt idx="4">
                  <c:v>162.51611816053978</c:v>
                </c:pt>
                <c:pt idx="5">
                  <c:v>192.06450328063789</c:v>
                </c:pt>
                <c:pt idx="6">
                  <c:v>221.61288840073604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'Vessel size optimisation'!$F$160</c:f>
              <c:strCache>
                <c:ptCount val="1"/>
                <c:pt idx="0">
                  <c:v>∆AE kW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'Vessel size optimisation'!$B$161:$B$167</c:f>
              <c:numCache>
                <c:formatCode>General</c:formatCode>
                <c:ptCount val="7"/>
                <c:pt idx="1">
                  <c:v>100</c:v>
                </c:pt>
                <c:pt idx="2">
                  <c:v>140</c:v>
                </c:pt>
                <c:pt idx="3">
                  <c:v>180</c:v>
                </c:pt>
                <c:pt idx="4">
                  <c:v>220</c:v>
                </c:pt>
                <c:pt idx="5">
                  <c:v>260</c:v>
                </c:pt>
                <c:pt idx="6">
                  <c:v>300</c:v>
                </c:pt>
              </c:numCache>
            </c:numRef>
          </c:xVal>
          <c:yVal>
            <c:numRef>
              <c:f>'Vessel size optimisation'!$F$161:$F$167</c:f>
              <c:numCache>
                <c:formatCode>General</c:formatCode>
                <c:ptCount val="7"/>
                <c:pt idx="1">
                  <c:v>13.036052258866832</c:v>
                </c:pt>
                <c:pt idx="2">
                  <c:v>18.250473162413556</c:v>
                </c:pt>
                <c:pt idx="3">
                  <c:v>23.464894065960294</c:v>
                </c:pt>
                <c:pt idx="4">
                  <c:v>28.679314969507004</c:v>
                </c:pt>
                <c:pt idx="5">
                  <c:v>33.893735873053743</c:v>
                </c:pt>
                <c:pt idx="6">
                  <c:v>39.108156776600481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0212080"/>
        <c:axId val="330218352"/>
      </c:scatterChart>
      <c:valAx>
        <c:axId val="33021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Vessel</a:t>
                </a:r>
                <a:r>
                  <a:rPr lang="en-GB" baseline="0"/>
                  <a:t> Size, m^3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218352"/>
        <c:crosses val="autoZero"/>
        <c:crossBetween val="midCat"/>
      </c:valAx>
      <c:valAx>
        <c:axId val="33021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212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image" Target="../media/image1.png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5" Type="http://schemas.openxmlformats.org/officeDocument/2006/relationships/chart" Target="../charts/chart2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2" Type="http://schemas.openxmlformats.org/officeDocument/2006/relationships/chart" Target="../charts/chart28.xml"/><Relationship Id="rId1" Type="http://schemas.openxmlformats.org/officeDocument/2006/relationships/image" Target="../media/image1.png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0" Type="http://schemas.openxmlformats.org/officeDocument/2006/relationships/chart" Target="../charts/chart36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396241</xdr:colOff>
      <xdr:row>20</xdr:row>
      <xdr:rowOff>114300</xdr:rowOff>
    </xdr:from>
    <xdr:to>
      <xdr:col>6</xdr:col>
      <xdr:colOff>800101</xdr:colOff>
      <xdr:row>25</xdr:row>
      <xdr:rowOff>2870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3321" y="3771900"/>
          <a:ext cx="1836420" cy="802970"/>
        </a:xfrm>
        <a:prstGeom prst="rect">
          <a:avLst/>
        </a:prstGeom>
      </xdr:spPr>
    </xdr:pic>
    <xdr:clientData/>
  </xdr:twoCellAnchor>
  <xdr:oneCellAnchor>
    <xdr:from>
      <xdr:col>6</xdr:col>
      <xdr:colOff>373380</xdr:colOff>
      <xdr:row>35</xdr:row>
      <xdr:rowOff>11430</xdr:rowOff>
    </xdr:from>
    <xdr:ext cx="1369477" cy="172227"/>
    <xdr:sp macro="" textlink="">
      <xdr:nvSpPr>
        <xdr:cNvPr id="4" name="TextBox 3"/>
        <xdr:cNvSpPr txBox="1"/>
      </xdr:nvSpPr>
      <xdr:spPr>
        <a:xfrm>
          <a:off x="5760720" y="6412230"/>
          <a:ext cx="1369477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GB" sz="1100"/>
            <a:t>Q-W</a:t>
          </a:r>
          <a:r>
            <a:rPr lang="en-GB" sz="1100" baseline="0"/>
            <a:t> = m,air (hin - hout)</a:t>
          </a:r>
          <a:endParaRPr lang="en-GB" sz="1100"/>
        </a:p>
      </xdr:txBody>
    </xdr:sp>
    <xdr:clientData/>
  </xdr:oneCellAnchor>
  <xdr:twoCellAnchor editAs="oneCell">
    <xdr:from>
      <xdr:col>12</xdr:col>
      <xdr:colOff>327660</xdr:colOff>
      <xdr:row>30</xdr:row>
      <xdr:rowOff>175260</xdr:rowOff>
    </xdr:from>
    <xdr:to>
      <xdr:col>15</xdr:col>
      <xdr:colOff>70658</xdr:colOff>
      <xdr:row>42</xdr:row>
      <xdr:rowOff>19020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70920" y="5661660"/>
          <a:ext cx="2278380" cy="2038320"/>
        </a:xfrm>
        <a:prstGeom prst="rect">
          <a:avLst/>
        </a:prstGeom>
      </xdr:spPr>
    </xdr:pic>
    <xdr:clientData/>
  </xdr:twoCellAnchor>
  <xdr:twoCellAnchor editAs="oneCell">
    <xdr:from>
      <xdr:col>2</xdr:col>
      <xdr:colOff>472440</xdr:colOff>
      <xdr:row>45</xdr:row>
      <xdr:rowOff>7621</xdr:rowOff>
    </xdr:from>
    <xdr:to>
      <xdr:col>2</xdr:col>
      <xdr:colOff>2598420</xdr:colOff>
      <xdr:row>49</xdr:row>
      <xdr:rowOff>13779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" y="8237221"/>
          <a:ext cx="2125980" cy="737678"/>
        </a:xfrm>
        <a:prstGeom prst="rect">
          <a:avLst/>
        </a:prstGeom>
      </xdr:spPr>
    </xdr:pic>
    <xdr:clientData/>
  </xdr:twoCellAnchor>
  <xdr:oneCellAnchor>
    <xdr:from>
      <xdr:col>5</xdr:col>
      <xdr:colOff>7620</xdr:colOff>
      <xdr:row>55</xdr:row>
      <xdr:rowOff>3810</xdr:rowOff>
    </xdr:from>
    <xdr:ext cx="285462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/>
            <xdr:cNvSpPr txBox="1"/>
          </xdr:nvSpPr>
          <xdr:spPr>
            <a:xfrm>
              <a:off x="4785360" y="10062210"/>
              <a:ext cx="28546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1−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2=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𝑎𝑖𝑟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1 −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− 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𝑎𝑖𝑟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1−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2)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8" name="TextBox 7"/>
            <xdr:cNvSpPr txBox="1"/>
          </xdr:nvSpPr>
          <xdr:spPr>
            <a:xfrm>
              <a:off x="4785360" y="10062210"/>
              <a:ext cx="28546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𝐵1−𝐵2=𝑚_𝑎𝑖𝑟  (ℎ1 −ℎ2)− 𝑇_0 𝑚_𝑎𝑖𝑟 (𝑠1−𝑠2)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5</xdr:col>
      <xdr:colOff>30480</xdr:colOff>
      <xdr:row>51</xdr:row>
      <xdr:rowOff>80010</xdr:rowOff>
    </xdr:from>
    <xdr:ext cx="2287614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/>
            <xdr:cNvSpPr txBox="1"/>
          </xdr:nvSpPr>
          <xdr:spPr>
            <a:xfrm>
              <a:off x="4808220" y="9406890"/>
              <a:ext cx="228761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2 −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1=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𝑎𝑖𝑟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func>
                      <m:func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f>
                          <m:f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den>
                        </m:f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0,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𝑎𝑖𝑟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𝑙𝑛</m:t>
                        </m:r>
                        <m:f>
                          <m:f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den>
                        </m:f>
                      </m:e>
                    </m:func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9" name="TextBox 8"/>
            <xdr:cNvSpPr txBox="1"/>
          </xdr:nvSpPr>
          <xdr:spPr>
            <a:xfrm>
              <a:off x="4808220" y="9406890"/>
              <a:ext cx="228761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𝑠2 −𝑠1=𝐶_(𝑝,𝑎𝑖𝑟 )  ln⁡〖𝑇2/𝑇1  − 𝑅_(0,𝑎𝑖𝑟)  𝑙𝑛 𝑃2/𝑃1〗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8</xdr:col>
      <xdr:colOff>53788</xdr:colOff>
      <xdr:row>67</xdr:row>
      <xdr:rowOff>165846</xdr:rowOff>
    </xdr:from>
    <xdr:ext cx="2093072" cy="3695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/>
            <xdr:cNvSpPr txBox="1"/>
          </xdr:nvSpPr>
          <xdr:spPr>
            <a:xfrm>
              <a:off x="7808259" y="12178552"/>
              <a:ext cx="2093072" cy="3695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𝑎𝑖𝑟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∗(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1 −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2)</m:t>
                        </m:r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𝑤𝑎𝑡𝑒𝑟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∗(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𝑜𝑢𝑡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𝑖𝑛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7" name="TextBox 6"/>
            <xdr:cNvSpPr txBox="1"/>
          </xdr:nvSpPr>
          <xdr:spPr>
            <a:xfrm>
              <a:off x="7808259" y="12178552"/>
              <a:ext cx="2093072" cy="3695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𝑚_𝑤=  (𝑚_(𝑎𝑖𝑟 )∗(ℎ1 −ℎ2))/(𝐶_(𝑝,𝑤𝑎𝑡𝑒𝑟)  ∗(𝑇_(𝑤,𝑜𝑢𝑡)  − 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𝑇_(𝑤,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𝑖𝑛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GB" sz="1100" b="0" i="0">
                  <a:latin typeface="Cambria Math" panose="02040503050406030204" pitchFamily="18" charset="0"/>
                </a:rPr>
                <a:t>))</a:t>
              </a:r>
              <a:endParaRPr lang="en-GB" sz="1100"/>
            </a:p>
          </xdr:txBody>
        </xdr:sp>
      </mc:Fallback>
    </mc:AlternateContent>
    <xdr:clientData/>
  </xdr:oneCellAnchor>
  <xdr:twoCellAnchor editAs="oneCell">
    <xdr:from>
      <xdr:col>5</xdr:col>
      <xdr:colOff>125506</xdr:colOff>
      <xdr:row>73</xdr:row>
      <xdr:rowOff>26893</xdr:rowOff>
    </xdr:from>
    <xdr:to>
      <xdr:col>9</xdr:col>
      <xdr:colOff>643217</xdr:colOff>
      <xdr:row>81</xdr:row>
      <xdr:rowOff>31238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03694" y="13115364"/>
          <a:ext cx="4921623" cy="1438698"/>
        </a:xfrm>
        <a:prstGeom prst="rect">
          <a:avLst/>
        </a:prstGeom>
      </xdr:spPr>
    </xdr:pic>
    <xdr:clientData/>
  </xdr:twoCellAnchor>
  <xdr:oneCellAnchor>
    <xdr:from>
      <xdr:col>2</xdr:col>
      <xdr:colOff>510987</xdr:colOff>
      <xdr:row>86</xdr:row>
      <xdr:rowOff>22411</xdr:rowOff>
    </xdr:from>
    <xdr:ext cx="2259107" cy="176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/>
            <xdr:cNvSpPr txBox="1"/>
          </xdr:nvSpPr>
          <xdr:spPr>
            <a:xfrm>
              <a:off x="1730187" y="15441705"/>
              <a:ext cx="2259107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,1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en-GB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e>
                      <m:sub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,1</m:t>
                        </m:r>
                      </m:sub>
                    </m:sSub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sSub>
                      <m:sSubPr>
                        <m:ctrlPr>
                          <a:rPr lang="en-GB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e>
                      <m:sub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,2</m:t>
                        </m:r>
                      </m:sub>
                    </m:sSub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 </m:t>
                    </m:r>
                    <m:sSub>
                      <m:sSubPr>
                        <m:ctrlPr>
                          <a:rPr lang="en-GB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</m:t>
                        </m:r>
                      </m:e>
                      <m:sub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</m:t>
                        </m:r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,2</m:t>
                        </m:r>
                      </m:sub>
                    </m:sSub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 ∆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𝐴𝐸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" name="TextBox 10"/>
            <xdr:cNvSpPr txBox="1"/>
          </xdr:nvSpPr>
          <xdr:spPr>
            <a:xfrm>
              <a:off x="1730187" y="15441705"/>
              <a:ext cx="2259107" cy="176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𝐵_(𝐻,1)+ 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𝐵_(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,1)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𝐵_(𝐻,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𝐵_(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𝐶,2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 ∆𝐴𝐸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191397</xdr:colOff>
      <xdr:row>87</xdr:row>
      <xdr:rowOff>27342</xdr:rowOff>
    </xdr:from>
    <xdr:ext cx="2955361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/>
            <xdr:cNvSpPr txBox="1"/>
          </xdr:nvSpPr>
          <xdr:spPr>
            <a:xfrm>
              <a:off x="1410597" y="15937902"/>
              <a:ext cx="2955361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/>
                <a:t> </a:t>
              </a:r>
              <a:r>
                <a:rPr lang="am-ET" sz="1100"/>
                <a:t>∆𝐴𝐸 </a:t>
              </a:r>
              <a:r>
                <a:rPr lang="en-GB" sz="1100"/>
                <a:t>=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𝑇</m:t>
                      </m:r>
                    </m:e>
                    <m:sub>
                      <m:r>
                        <a:rPr lang="en-GB" sz="1100" b="0" i="1">
                          <a:latin typeface="Cambria Math" panose="02040503050406030204" pitchFamily="18" charset="0"/>
                        </a:rPr>
                        <m:t>0 </m:t>
                      </m:r>
                    </m:sub>
                  </m:sSub>
                  <m:sSub>
                    <m:sSubPr>
                      <m:ctrlPr>
                        <a:rPr lang="en-GB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h</m:t>
                      </m:r>
                    </m:sub>
                  </m:sSub>
                  <m:d>
                    <m:dPr>
                      <m:ctrlP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en-GB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𝑠</m:t>
                          </m:r>
                        </m:e>
                        <m:sub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h</m:t>
                          </m:r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,2 </m:t>
                          </m:r>
                        </m:sub>
                      </m:sSub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sSub>
                        <m:sSubPr>
                          <m:ctrlPr>
                            <a:rPr lang="en-GB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𝑠</m:t>
                          </m:r>
                        </m:e>
                        <m:sub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h</m:t>
                          </m:r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,1 </m:t>
                          </m:r>
                        </m:sub>
                      </m:sSub>
                    </m:e>
                  </m:d>
                  <m:r>
                    <a:rPr lang="en-GB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 </m:t>
                  </m:r>
                  <m:r>
                    <m:rPr>
                      <m:nor/>
                    </m:rPr>
                    <a:rPr lang="en-GB" sz="110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sSub>
                    <m:sSubPr>
                      <m:ctrlPr>
                        <a:rPr lang="en-GB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𝑇</m:t>
                      </m:r>
                    </m:e>
                    <m:sub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0 </m:t>
                      </m:r>
                    </m:sub>
                  </m:sSub>
                  <m:sSub>
                    <m:sSubPr>
                      <m:ctrlPr>
                        <a:rPr lang="en-GB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sub>
                  </m:sSub>
                  <m:d>
                    <m:dPr>
                      <m:ctrlP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en-GB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𝑠</m:t>
                          </m:r>
                        </m:e>
                        <m:sub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𝑐</m:t>
                          </m:r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,2 </m:t>
                          </m:r>
                        </m:sub>
                      </m:sSub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sSub>
                        <m:sSubPr>
                          <m:ctrlPr>
                            <a:rPr lang="en-GB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𝑠</m:t>
                          </m:r>
                        </m:e>
                        <m:sub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𝑐</m:t>
                          </m:r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,1 </m:t>
                          </m:r>
                        </m:sub>
                      </m:sSub>
                    </m:e>
                  </m:d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13" name="TextBox 12"/>
            <xdr:cNvSpPr txBox="1"/>
          </xdr:nvSpPr>
          <xdr:spPr>
            <a:xfrm>
              <a:off x="1410597" y="15937902"/>
              <a:ext cx="2955361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/>
                <a:t> </a:t>
              </a:r>
              <a:r>
                <a:rPr lang="am-ET" sz="1100"/>
                <a:t>∆𝐴𝐸 </a:t>
              </a:r>
              <a:r>
                <a:rPr lang="en-GB" sz="1100"/>
                <a:t>= </a:t>
              </a:r>
              <a:r>
                <a:rPr lang="en-GB" sz="1100" b="0" i="0">
                  <a:latin typeface="Cambria Math" panose="02040503050406030204" pitchFamily="18" charset="0"/>
                </a:rPr>
                <a:t>𝑇_(0 )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 (𝑠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ℎ,2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𝑠_(ℎ,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)+ "</a:t>
              </a:r>
              <a:r>
                <a:rPr lang="en-GB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GB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𝑇_(0 ) 𝑚_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(𝑠_(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,2 )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𝑠_(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,1 )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5</xdr:col>
      <xdr:colOff>0</xdr:colOff>
      <xdr:row>87</xdr:row>
      <xdr:rowOff>22860</xdr:rowOff>
    </xdr:from>
    <xdr:ext cx="2287614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/>
            <xdr:cNvSpPr txBox="1"/>
          </xdr:nvSpPr>
          <xdr:spPr>
            <a:xfrm>
              <a:off x="4777740" y="15933420"/>
              <a:ext cx="228761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2 −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1=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𝑎𝑖𝑟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func>
                      <m:func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f>
                          <m:f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den>
                        </m:f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0,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𝑎𝑖𝑟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𝑙𝑛</m:t>
                        </m:r>
                        <m:f>
                          <m:f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den>
                        </m:f>
                      </m:e>
                    </m:func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4" name="TextBox 13"/>
            <xdr:cNvSpPr txBox="1"/>
          </xdr:nvSpPr>
          <xdr:spPr>
            <a:xfrm>
              <a:off x="4777740" y="15933420"/>
              <a:ext cx="228761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𝑠2 −𝑠1=𝐶_(𝑝,𝑎𝑖𝑟 )  ln⁡〖𝑇2/𝑇1  − 𝑅_(0,𝑎𝑖𝑟)  𝑙𝑛 𝑃2/𝑃1〗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114300</xdr:colOff>
      <xdr:row>108</xdr:row>
      <xdr:rowOff>11430</xdr:rowOff>
    </xdr:from>
    <xdr:ext cx="1106906" cy="4101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/>
            <xdr:cNvSpPr txBox="1"/>
          </xdr:nvSpPr>
          <xdr:spPr>
            <a:xfrm>
              <a:off x="1333500" y="19762470"/>
              <a:ext cx="1106906" cy="41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𝑇𝑖𝑛</m:t>
                        </m:r>
                      </m:den>
                    </m:f>
                    <m:r>
                      <a:rPr lang="en-GB" sz="1100" b="0" i="1">
                        <a:latin typeface="Cambria Math" panose="02040503050406030204" pitchFamily="18" charset="0"/>
                      </a:rPr>
                      <m:t>=(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f>
                          <m:f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𝑃𝑜𝑢𝑡</m:t>
                            </m:r>
                          </m:num>
                          <m:den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𝑃𝑖𝑛</m:t>
                            </m:r>
                          </m:den>
                        </m:f>
                      </m:e>
                      <m:sup>
                        <m:f>
                          <m:f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sty m:val="p"/>
                              </m:rPr>
                              <a:rPr lang="en-GB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γ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num>
                          <m:den>
                            <m:r>
                              <m:rPr>
                                <m:sty m:val="p"/>
                              </m:rPr>
                              <a:rPr lang="en-GB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γ</m:t>
                            </m:r>
                          </m:den>
                        </m:f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6" name="TextBox 15"/>
            <xdr:cNvSpPr txBox="1"/>
          </xdr:nvSpPr>
          <xdr:spPr>
            <a:xfrm>
              <a:off x="1333500" y="19762470"/>
              <a:ext cx="1106906" cy="410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i="0">
                  <a:latin typeface="Cambria Math" panose="02040503050406030204" pitchFamily="18" charset="0"/>
                </a:rPr>
                <a:t>(</a:t>
              </a:r>
              <a:r>
                <a:rPr lang="en-GB" sz="1100" b="0" i="0">
                  <a:latin typeface="Cambria Math" panose="02040503050406030204" pitchFamily="18" charset="0"/>
                </a:rPr>
                <a:t>𝑇2,𝑠)/𝑇𝑖𝑛=(〖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𝑃𝑜𝑢𝑡/𝑃𝑖𝑛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〗^((</a:t>
              </a:r>
              <a:r>
                <a:rPr lang="en-GB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γ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−1)/</a:t>
              </a:r>
              <a:r>
                <a:rPr lang="en-GB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γ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GB" sz="1100" b="0" i="0">
                  <a:latin typeface="Cambria Math" panose="02040503050406030204" pitchFamily="18" charset="0"/>
                </a:rPr>
                <a:t>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121920</xdr:colOff>
      <xdr:row>112</xdr:row>
      <xdr:rowOff>11430</xdr:rowOff>
    </xdr:from>
    <xdr:ext cx="1220141" cy="33483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/>
            <xdr:cNvSpPr txBox="1"/>
          </xdr:nvSpPr>
          <xdr:spPr>
            <a:xfrm>
              <a:off x="1341120" y="20493990"/>
              <a:ext cx="1220141" cy="3348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0.85= 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𝑇𝑖𝑛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𝑇𝑜𝑢𝑡</m:t>
                        </m:r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𝑇𝑖𝑛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8" name="TextBox 17"/>
            <xdr:cNvSpPr txBox="1"/>
          </xdr:nvSpPr>
          <xdr:spPr>
            <a:xfrm>
              <a:off x="1341120" y="20493990"/>
              <a:ext cx="1220141" cy="33483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0.85=  (𝑇𝑖𝑛 −𝑇𝑜𝑢𝑡)/(𝑇𝑖𝑛 −𝑇2,𝑠)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2</xdr:col>
      <xdr:colOff>396240</xdr:colOff>
      <xdr:row>116</xdr:row>
      <xdr:rowOff>11430</xdr:rowOff>
    </xdr:from>
    <xdr:ext cx="167911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/>
            <xdr:cNvSpPr txBox="1"/>
          </xdr:nvSpPr>
          <xdr:spPr>
            <a:xfrm>
              <a:off x="1615440" y="21225510"/>
              <a:ext cx="16791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𝑄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𝑊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𝐶𝑝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 (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1−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2)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0" name="TextBox 19"/>
            <xdr:cNvSpPr txBox="1"/>
          </xdr:nvSpPr>
          <xdr:spPr>
            <a:xfrm>
              <a:off x="1615440" y="21225510"/>
              <a:ext cx="167911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𝑄+𝑊=𝑚∗𝐶𝑝 (𝑇1−𝑇2)</a:t>
              </a:r>
              <a:endParaRPr lang="en-GB" sz="1100"/>
            </a:p>
          </xdr:txBody>
        </xdr:sp>
      </mc:Fallback>
    </mc:AlternateContent>
    <xdr:clientData/>
  </xdr:oneCellAnchor>
  <xdr:twoCellAnchor editAs="oneCell">
    <xdr:from>
      <xdr:col>7</xdr:col>
      <xdr:colOff>509452</xdr:colOff>
      <xdr:row>0</xdr:row>
      <xdr:rowOff>0</xdr:rowOff>
    </xdr:from>
    <xdr:to>
      <xdr:col>10</xdr:col>
      <xdr:colOff>1288313</xdr:colOff>
      <xdr:row>9</xdr:row>
      <xdr:rowOff>68278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53995" y="0"/>
          <a:ext cx="3810532" cy="17337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441961</xdr:colOff>
      <xdr:row>16</xdr:row>
      <xdr:rowOff>137160</xdr:rowOff>
    </xdr:from>
    <xdr:to>
      <xdr:col>8</xdr:col>
      <xdr:colOff>984325</xdr:colOff>
      <xdr:row>21</xdr:row>
      <xdr:rowOff>25730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63401" y="3063240"/>
          <a:ext cx="1830144" cy="802970"/>
        </a:xfrm>
        <a:prstGeom prst="rect">
          <a:avLst/>
        </a:prstGeom>
      </xdr:spPr>
    </xdr:pic>
    <xdr:clientData/>
  </xdr:twoCellAnchor>
  <xdr:twoCellAnchor>
    <xdr:from>
      <xdr:col>4</xdr:col>
      <xdr:colOff>1251858</xdr:colOff>
      <xdr:row>71</xdr:row>
      <xdr:rowOff>48983</xdr:rowOff>
    </xdr:from>
    <xdr:to>
      <xdr:col>8</xdr:col>
      <xdr:colOff>1513116</xdr:colOff>
      <xdr:row>86</xdr:row>
      <xdr:rowOff>163285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108857</xdr:colOff>
      <xdr:row>71</xdr:row>
      <xdr:rowOff>38100</xdr:rowOff>
    </xdr:from>
    <xdr:to>
      <xdr:col>4</xdr:col>
      <xdr:colOff>1240972</xdr:colOff>
      <xdr:row>87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1540327</xdr:colOff>
      <xdr:row>71</xdr:row>
      <xdr:rowOff>38101</xdr:rowOff>
    </xdr:from>
    <xdr:to>
      <xdr:col>13</xdr:col>
      <xdr:colOff>76199</xdr:colOff>
      <xdr:row>87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136071</xdr:colOff>
      <xdr:row>87</xdr:row>
      <xdr:rowOff>38099</xdr:rowOff>
    </xdr:from>
    <xdr:to>
      <xdr:col>4</xdr:col>
      <xdr:colOff>1197429</xdr:colOff>
      <xdr:row>102</xdr:row>
      <xdr:rowOff>76201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1240973</xdr:colOff>
      <xdr:row>86</xdr:row>
      <xdr:rowOff>168727</xdr:rowOff>
    </xdr:from>
    <xdr:to>
      <xdr:col>8</xdr:col>
      <xdr:colOff>1491343</xdr:colOff>
      <xdr:row>102</xdr:row>
      <xdr:rowOff>163286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1513112</xdr:colOff>
      <xdr:row>86</xdr:row>
      <xdr:rowOff>157841</xdr:rowOff>
    </xdr:from>
    <xdr:to>
      <xdr:col>13</xdr:col>
      <xdr:colOff>10883</xdr:colOff>
      <xdr:row>102</xdr:row>
      <xdr:rowOff>174171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106680</xdr:colOff>
      <xdr:row>139</xdr:row>
      <xdr:rowOff>125730</xdr:rowOff>
    </xdr:from>
    <xdr:to>
      <xdr:col>3</xdr:col>
      <xdr:colOff>7620</xdr:colOff>
      <xdr:row>155</xdr:row>
      <xdr:rowOff>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83820</xdr:colOff>
      <xdr:row>139</xdr:row>
      <xdr:rowOff>118110</xdr:rowOff>
    </xdr:from>
    <xdr:to>
      <xdr:col>5</xdr:col>
      <xdr:colOff>982980</xdr:colOff>
      <xdr:row>154</xdr:row>
      <xdr:rowOff>167640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1045733</xdr:colOff>
      <xdr:row>139</xdr:row>
      <xdr:rowOff>115422</xdr:rowOff>
    </xdr:from>
    <xdr:to>
      <xdr:col>8</xdr:col>
      <xdr:colOff>954293</xdr:colOff>
      <xdr:row>154</xdr:row>
      <xdr:rowOff>115422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986117</xdr:colOff>
      <xdr:row>139</xdr:row>
      <xdr:rowOff>103095</xdr:rowOff>
    </xdr:from>
    <xdr:to>
      <xdr:col>10</xdr:col>
      <xdr:colOff>304800</xdr:colOff>
      <xdr:row>154</xdr:row>
      <xdr:rowOff>156883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423262</xdr:colOff>
      <xdr:row>180</xdr:row>
      <xdr:rowOff>138312</xdr:rowOff>
    </xdr:from>
    <xdr:to>
      <xdr:col>5</xdr:col>
      <xdr:colOff>1457405</xdr:colOff>
      <xdr:row>195</xdr:row>
      <xdr:rowOff>106936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2180346</xdr:colOff>
      <xdr:row>180</xdr:row>
      <xdr:rowOff>132549</xdr:rowOff>
    </xdr:from>
    <xdr:to>
      <xdr:col>8</xdr:col>
      <xdr:colOff>950258</xdr:colOff>
      <xdr:row>195</xdr:row>
      <xdr:rowOff>154961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662940</xdr:colOff>
      <xdr:row>222</xdr:row>
      <xdr:rowOff>125730</xdr:rowOff>
    </xdr:from>
    <xdr:to>
      <xdr:col>4</xdr:col>
      <xdr:colOff>342900</xdr:colOff>
      <xdr:row>237</xdr:row>
      <xdr:rowOff>125730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662940</xdr:colOff>
      <xdr:row>13</xdr:row>
      <xdr:rowOff>22860</xdr:rowOff>
    </xdr:from>
    <xdr:to>
      <xdr:col>8</xdr:col>
      <xdr:colOff>850301</xdr:colOff>
      <xdr:row>17</xdr:row>
      <xdr:rowOff>76380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0760" y="2400300"/>
          <a:ext cx="1833281" cy="785040"/>
        </a:xfrm>
        <a:prstGeom prst="rect">
          <a:avLst/>
        </a:prstGeom>
      </xdr:spPr>
    </xdr:pic>
    <xdr:clientData/>
  </xdr:twoCellAnchor>
  <xdr:twoCellAnchor>
    <xdr:from>
      <xdr:col>0</xdr:col>
      <xdr:colOff>591670</xdr:colOff>
      <xdr:row>55</xdr:row>
      <xdr:rowOff>13447</xdr:rowOff>
    </xdr:from>
    <xdr:to>
      <xdr:col>3</xdr:col>
      <xdr:colOff>1649505</xdr:colOff>
      <xdr:row>70</xdr:row>
      <xdr:rowOff>67235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179293</xdr:colOff>
      <xdr:row>55</xdr:row>
      <xdr:rowOff>31377</xdr:rowOff>
    </xdr:from>
    <xdr:to>
      <xdr:col>7</xdr:col>
      <xdr:colOff>412375</xdr:colOff>
      <xdr:row>70</xdr:row>
      <xdr:rowOff>71718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627530</xdr:colOff>
      <xdr:row>55</xdr:row>
      <xdr:rowOff>13448</xdr:rowOff>
    </xdr:from>
    <xdr:to>
      <xdr:col>10</xdr:col>
      <xdr:colOff>744071</xdr:colOff>
      <xdr:row>70</xdr:row>
      <xdr:rowOff>67236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17929</xdr:colOff>
      <xdr:row>71</xdr:row>
      <xdr:rowOff>13447</xdr:rowOff>
    </xdr:from>
    <xdr:to>
      <xdr:col>3</xdr:col>
      <xdr:colOff>1703293</xdr:colOff>
      <xdr:row>88</xdr:row>
      <xdr:rowOff>8965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627528</xdr:colOff>
      <xdr:row>71</xdr:row>
      <xdr:rowOff>154962</xdr:rowOff>
    </xdr:from>
    <xdr:to>
      <xdr:col>10</xdr:col>
      <xdr:colOff>1335740</xdr:colOff>
      <xdr:row>88</xdr:row>
      <xdr:rowOff>141513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519952</xdr:colOff>
      <xdr:row>128</xdr:row>
      <xdr:rowOff>165846</xdr:rowOff>
    </xdr:from>
    <xdr:to>
      <xdr:col>3</xdr:col>
      <xdr:colOff>860611</xdr:colOff>
      <xdr:row>144</xdr:row>
      <xdr:rowOff>40340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1362635</xdr:colOff>
      <xdr:row>128</xdr:row>
      <xdr:rowOff>174811</xdr:rowOff>
    </xdr:from>
    <xdr:to>
      <xdr:col>5</xdr:col>
      <xdr:colOff>1891552</xdr:colOff>
      <xdr:row>144</xdr:row>
      <xdr:rowOff>49305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358588</xdr:colOff>
      <xdr:row>129</xdr:row>
      <xdr:rowOff>58271</xdr:rowOff>
    </xdr:from>
    <xdr:to>
      <xdr:col>9</xdr:col>
      <xdr:colOff>573741</xdr:colOff>
      <xdr:row>144</xdr:row>
      <xdr:rowOff>112059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528918</xdr:colOff>
      <xdr:row>145</xdr:row>
      <xdr:rowOff>147917</xdr:rowOff>
    </xdr:from>
    <xdr:to>
      <xdr:col>3</xdr:col>
      <xdr:colOff>869577</xdr:colOff>
      <xdr:row>161</xdr:row>
      <xdr:rowOff>22411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1201270</xdr:colOff>
      <xdr:row>193</xdr:row>
      <xdr:rowOff>4482</xdr:rowOff>
    </xdr:from>
    <xdr:to>
      <xdr:col>3</xdr:col>
      <xdr:colOff>1541929</xdr:colOff>
      <xdr:row>208</xdr:row>
      <xdr:rowOff>58271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385481</xdr:colOff>
      <xdr:row>242</xdr:row>
      <xdr:rowOff>67234</xdr:rowOff>
    </xdr:from>
    <xdr:to>
      <xdr:col>4</xdr:col>
      <xdr:colOff>349623</xdr:colOff>
      <xdr:row>259</xdr:row>
      <xdr:rowOff>89647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315685</xdr:colOff>
      <xdr:row>71</xdr:row>
      <xdr:rowOff>157842</xdr:rowOff>
    </xdr:from>
    <xdr:to>
      <xdr:col>7</xdr:col>
      <xdr:colOff>250372</xdr:colOff>
      <xdr:row>89</xdr:row>
      <xdr:rowOff>43542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1328056</xdr:colOff>
      <xdr:row>145</xdr:row>
      <xdr:rowOff>38098</xdr:rowOff>
    </xdr:from>
    <xdr:to>
      <xdr:col>5</xdr:col>
      <xdr:colOff>1730828</xdr:colOff>
      <xdr:row>161</xdr:row>
      <xdr:rowOff>54427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598715</xdr:colOff>
      <xdr:row>192</xdr:row>
      <xdr:rowOff>16329</xdr:rowOff>
    </xdr:from>
    <xdr:to>
      <xdr:col>7</xdr:col>
      <xdr:colOff>1001486</xdr:colOff>
      <xdr:row>208</xdr:row>
      <xdr:rowOff>141514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236220</xdr:colOff>
      <xdr:row>7</xdr:row>
      <xdr:rowOff>152400</xdr:rowOff>
    </xdr:from>
    <xdr:to>
      <xdr:col>9</xdr:col>
      <xdr:colOff>1078901</xdr:colOff>
      <xdr:row>12</xdr:row>
      <xdr:rowOff>23040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6160" y="1432560"/>
          <a:ext cx="1833281" cy="785040"/>
        </a:xfrm>
        <a:prstGeom prst="rect">
          <a:avLst/>
        </a:prstGeom>
      </xdr:spPr>
    </xdr:pic>
    <xdr:clientData/>
  </xdr:twoCellAnchor>
  <xdr:twoCellAnchor>
    <xdr:from>
      <xdr:col>0</xdr:col>
      <xdr:colOff>472440</xdr:colOff>
      <xdr:row>41</xdr:row>
      <xdr:rowOff>156210</xdr:rowOff>
    </xdr:from>
    <xdr:to>
      <xdr:col>3</xdr:col>
      <xdr:colOff>1104900</xdr:colOff>
      <xdr:row>56</xdr:row>
      <xdr:rowOff>156210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1295400</xdr:colOff>
      <xdr:row>41</xdr:row>
      <xdr:rowOff>163830</xdr:rowOff>
    </xdr:from>
    <xdr:to>
      <xdr:col>6</xdr:col>
      <xdr:colOff>0</xdr:colOff>
      <xdr:row>56</xdr:row>
      <xdr:rowOff>163830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312420</xdr:colOff>
      <xdr:row>41</xdr:row>
      <xdr:rowOff>156210</xdr:rowOff>
    </xdr:from>
    <xdr:to>
      <xdr:col>10</xdr:col>
      <xdr:colOff>411480</xdr:colOff>
      <xdr:row>56</xdr:row>
      <xdr:rowOff>156210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510988</xdr:colOff>
      <xdr:row>57</xdr:row>
      <xdr:rowOff>174812</xdr:rowOff>
    </xdr:from>
    <xdr:to>
      <xdr:col>3</xdr:col>
      <xdr:colOff>1138517</xdr:colOff>
      <xdr:row>73</xdr:row>
      <xdr:rowOff>49306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1371599</xdr:colOff>
      <xdr:row>57</xdr:row>
      <xdr:rowOff>147917</xdr:rowOff>
    </xdr:from>
    <xdr:to>
      <xdr:col>6</xdr:col>
      <xdr:colOff>71717</xdr:colOff>
      <xdr:row>73</xdr:row>
      <xdr:rowOff>22411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295835</xdr:colOff>
      <xdr:row>57</xdr:row>
      <xdr:rowOff>129988</xdr:rowOff>
    </xdr:from>
    <xdr:to>
      <xdr:col>10</xdr:col>
      <xdr:colOff>385482</xdr:colOff>
      <xdr:row>73</xdr:row>
      <xdr:rowOff>4482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125505</xdr:colOff>
      <xdr:row>109</xdr:row>
      <xdr:rowOff>156882</xdr:rowOff>
    </xdr:from>
    <xdr:to>
      <xdr:col>3</xdr:col>
      <xdr:colOff>53787</xdr:colOff>
      <xdr:row>125</xdr:row>
      <xdr:rowOff>31376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331694</xdr:colOff>
      <xdr:row>109</xdr:row>
      <xdr:rowOff>138953</xdr:rowOff>
    </xdr:from>
    <xdr:to>
      <xdr:col>5</xdr:col>
      <xdr:colOff>1057836</xdr:colOff>
      <xdr:row>125</xdr:row>
      <xdr:rowOff>13447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1524000</xdr:colOff>
      <xdr:row>109</xdr:row>
      <xdr:rowOff>156882</xdr:rowOff>
    </xdr:from>
    <xdr:to>
      <xdr:col>9</xdr:col>
      <xdr:colOff>259976</xdr:colOff>
      <xdr:row>125</xdr:row>
      <xdr:rowOff>31376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98612</xdr:colOff>
      <xdr:row>125</xdr:row>
      <xdr:rowOff>165846</xdr:rowOff>
    </xdr:from>
    <xdr:to>
      <xdr:col>3</xdr:col>
      <xdr:colOff>26894</xdr:colOff>
      <xdr:row>141</xdr:row>
      <xdr:rowOff>40340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519953</xdr:colOff>
      <xdr:row>172</xdr:row>
      <xdr:rowOff>22410</xdr:rowOff>
    </xdr:from>
    <xdr:to>
      <xdr:col>3</xdr:col>
      <xdr:colOff>1541929</xdr:colOff>
      <xdr:row>189</xdr:row>
      <xdr:rowOff>98611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475129</xdr:colOff>
      <xdr:row>216</xdr:row>
      <xdr:rowOff>156883</xdr:rowOff>
    </xdr:from>
    <xdr:to>
      <xdr:col>3</xdr:col>
      <xdr:colOff>1541929</xdr:colOff>
      <xdr:row>234</xdr:row>
      <xdr:rowOff>89646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1404257</xdr:colOff>
      <xdr:row>171</xdr:row>
      <xdr:rowOff>81644</xdr:rowOff>
    </xdr:from>
    <xdr:to>
      <xdr:col>7</xdr:col>
      <xdr:colOff>1143000</xdr:colOff>
      <xdr:row>189</xdr:row>
      <xdr:rowOff>32657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213360</xdr:colOff>
      <xdr:row>15</xdr:row>
      <xdr:rowOff>76200</xdr:rowOff>
    </xdr:from>
    <xdr:ext cx="285462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10119360" y="2819400"/>
              <a:ext cx="28546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1−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𝐵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2=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𝑎𝑖𝑟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1 −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− 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𝑎𝑖𝑟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1−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2)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10119360" y="2819400"/>
              <a:ext cx="28546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𝐵1−𝐵2=𝑚_𝑎𝑖𝑟  (ℎ1 −ℎ2)− 𝑇_0 𝑚_𝑎𝑖𝑟 (𝑠1−𝑠2)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8</xdr:col>
      <xdr:colOff>342900</xdr:colOff>
      <xdr:row>17</xdr:row>
      <xdr:rowOff>68580</xdr:rowOff>
    </xdr:from>
    <xdr:ext cx="2287614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10248900" y="3177540"/>
              <a:ext cx="228761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2 −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1=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𝑎𝑖𝑟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func>
                      <m:func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f>
                          <m:f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den>
                        </m:f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0,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𝑎𝑖𝑟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𝑙𝑛</m:t>
                        </m:r>
                        <m:f>
                          <m:f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den>
                        </m:f>
                      </m:e>
                    </m:func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10248900" y="3177540"/>
              <a:ext cx="228761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𝑠2 −𝑠1=𝐶_(𝑝,𝑎𝑖𝑟 )  ln⁡〖𝑇2/𝑇1  − 𝑅_(0,𝑎𝑖𝑟)  𝑙𝑛 𝑃2/𝑃1〗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7</xdr:col>
      <xdr:colOff>548640</xdr:colOff>
      <xdr:row>35</xdr:row>
      <xdr:rowOff>76200</xdr:rowOff>
    </xdr:from>
    <xdr:ext cx="2093072" cy="3695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9845040" y="6477000"/>
              <a:ext cx="2093072" cy="3695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𝑎𝑖𝑟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 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∗(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1 −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h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2)</m:t>
                        </m:r>
                      </m:num>
                      <m:den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𝑤𝑎𝑡𝑒𝑟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∗(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𝑤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𝑜𝑢𝑡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sSub>
                          <m:sSub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𝑤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𝑖𝑛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9845040" y="6477000"/>
              <a:ext cx="2093072" cy="3695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𝑚_𝑤=  (𝑚_(𝑎𝑖𝑟 )∗(ℎ1 −ℎ2))/(𝐶_(𝑝,𝑤𝑎𝑡𝑒𝑟)  ∗(𝑇_(𝑤,𝑜𝑢𝑡)  − 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𝑇_(𝑤,𝑖𝑛)</a:t>
              </a:r>
              <a:r>
                <a:rPr lang="en-GB" sz="1100" b="0" i="0">
                  <a:latin typeface="Cambria Math" panose="02040503050406030204" pitchFamily="18" charset="0"/>
                </a:rPr>
                <a:t>))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9</xdr:col>
      <xdr:colOff>0</xdr:colOff>
      <xdr:row>45</xdr:row>
      <xdr:rowOff>0</xdr:rowOff>
    </xdr:from>
    <xdr:ext cx="2287614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/>
            <xdr:cNvSpPr txBox="1"/>
          </xdr:nvSpPr>
          <xdr:spPr>
            <a:xfrm>
              <a:off x="10515600" y="8229600"/>
              <a:ext cx="228761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2 −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𝑠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1=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𝑎𝑖𝑟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func>
                      <m:func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f>
                          <m:f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den>
                        </m:f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− 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0,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𝑎𝑖𝑟</m:t>
                            </m:r>
                          </m:sub>
                        </m:s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𝑙𝑛</m:t>
                        </m:r>
                        <m:f>
                          <m:f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num>
                          <m:den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den>
                        </m:f>
                      </m:e>
                    </m:func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5" name="TextBox 4"/>
            <xdr:cNvSpPr txBox="1"/>
          </xdr:nvSpPr>
          <xdr:spPr>
            <a:xfrm>
              <a:off x="10515600" y="8229600"/>
              <a:ext cx="2287614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𝑠2 −𝑠1=𝐶_(𝑝,𝑎𝑖𝑟 )  ln⁡〖𝑇2/𝑇1  − 𝑅_(0,𝑎𝑖𝑟)  𝑙𝑛 𝑃2/𝑃1〗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8</xdr:col>
      <xdr:colOff>495300</xdr:colOff>
      <xdr:row>47</xdr:row>
      <xdr:rowOff>22860</xdr:rowOff>
    </xdr:from>
    <xdr:ext cx="2955361" cy="1910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/>
            <xdr:cNvSpPr txBox="1"/>
          </xdr:nvSpPr>
          <xdr:spPr>
            <a:xfrm>
              <a:off x="10401300" y="8618220"/>
              <a:ext cx="2955361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/>
                <a:t> </a:t>
              </a:r>
              <a:r>
                <a:rPr lang="am-ET" sz="1100"/>
                <a:t>∆𝐴𝐸 </a:t>
              </a:r>
              <a:r>
                <a:rPr lang="en-GB" sz="1100"/>
                <a:t>= </a:t>
              </a:r>
              <a14:m>
                <m:oMath xmlns:m="http://schemas.openxmlformats.org/officeDocument/2006/math">
                  <m:sSub>
                    <m:sSubPr>
                      <m:ctrlPr>
                        <a:rPr lang="en-GB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GB" sz="1100" b="0" i="1">
                          <a:latin typeface="Cambria Math" panose="02040503050406030204" pitchFamily="18" charset="0"/>
                        </a:rPr>
                        <m:t>𝑇</m:t>
                      </m:r>
                    </m:e>
                    <m:sub>
                      <m:r>
                        <a:rPr lang="en-GB" sz="1100" b="0" i="1">
                          <a:latin typeface="Cambria Math" panose="02040503050406030204" pitchFamily="18" charset="0"/>
                        </a:rPr>
                        <m:t>0 </m:t>
                      </m:r>
                    </m:sub>
                  </m:sSub>
                  <m:sSub>
                    <m:sSubPr>
                      <m:ctrlPr>
                        <a:rPr lang="en-GB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h</m:t>
                      </m:r>
                    </m:sub>
                  </m:sSub>
                  <m:d>
                    <m:dPr>
                      <m:ctrlP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en-GB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𝑠</m:t>
                          </m:r>
                        </m:e>
                        <m:sub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h</m:t>
                          </m:r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,2 </m:t>
                          </m:r>
                        </m:sub>
                      </m:sSub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sSub>
                        <m:sSubPr>
                          <m:ctrlPr>
                            <a:rPr lang="en-GB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𝑠</m:t>
                          </m:r>
                        </m:e>
                        <m:sub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h</m:t>
                          </m:r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,1 </m:t>
                          </m:r>
                        </m:sub>
                      </m:sSub>
                    </m:e>
                  </m:d>
                  <m:r>
                    <a:rPr lang="en-GB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 </m:t>
                  </m:r>
                  <m:r>
                    <m:rPr>
                      <m:nor/>
                    </m:rPr>
                    <a:rPr lang="en-GB" sz="110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m:t> </m:t>
                  </m:r>
                  <m:sSub>
                    <m:sSubPr>
                      <m:ctrlPr>
                        <a:rPr lang="en-GB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𝑇</m:t>
                      </m:r>
                    </m:e>
                    <m:sub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0 </m:t>
                      </m:r>
                    </m:sub>
                  </m:sSub>
                  <m:sSub>
                    <m:sSubPr>
                      <m:ctrlPr>
                        <a:rPr lang="en-GB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</m:e>
                    <m:sub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sub>
                  </m:sSub>
                  <m:d>
                    <m:dPr>
                      <m:ctrlP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sSub>
                        <m:sSubPr>
                          <m:ctrlPr>
                            <a:rPr lang="en-GB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𝑠</m:t>
                          </m:r>
                        </m:e>
                        <m:sub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𝑐</m:t>
                          </m:r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,2 </m:t>
                          </m:r>
                        </m:sub>
                      </m:sSub>
                      <m:r>
                        <a:rPr lang="en-GB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sSub>
                        <m:sSubPr>
                          <m:ctrlPr>
                            <a:rPr lang="en-GB" sz="110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𝑠</m:t>
                          </m:r>
                        </m:e>
                        <m:sub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𝑐</m:t>
                          </m:r>
                          <m:r>
                            <a:rPr lang="en-GB" sz="11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,1 </m:t>
                          </m:r>
                        </m:sub>
                      </m:sSub>
                    </m:e>
                  </m:d>
                </m:oMath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5"/>
            <xdr:cNvSpPr txBox="1"/>
          </xdr:nvSpPr>
          <xdr:spPr>
            <a:xfrm>
              <a:off x="10401300" y="8618220"/>
              <a:ext cx="2955361" cy="1910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/>
                <a:t> </a:t>
              </a:r>
              <a:r>
                <a:rPr lang="am-ET" sz="1100"/>
                <a:t>∆𝐴𝐸 </a:t>
              </a:r>
              <a:r>
                <a:rPr lang="en-GB" sz="1100"/>
                <a:t>= </a:t>
              </a:r>
              <a:r>
                <a:rPr lang="en-GB" sz="1100" b="0" i="0">
                  <a:latin typeface="Cambria Math" panose="02040503050406030204" pitchFamily="18" charset="0"/>
                </a:rPr>
                <a:t>𝑇_(0 )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𝑚_ℎ (𝑠_(ℎ,2 )−𝑠_(ℎ,1 ) )+ "</a:t>
              </a:r>
              <a:r>
                <a:rPr lang="en-GB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" 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𝑇_(0 ) 𝑚_𝑐 (𝑠_(𝑐,2 )−𝑠_(𝑐,1 ) 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9"/>
  <sheetViews>
    <sheetView tabSelected="1" zoomScale="85" zoomScaleNormal="85" workbookViewId="0">
      <selection activeCell="F148" sqref="F148"/>
    </sheetView>
  </sheetViews>
  <sheetFormatPr defaultRowHeight="14.4"/>
  <cols>
    <col min="3" max="3" width="41" customWidth="1"/>
    <col min="4" max="4" width="15.21875" customWidth="1"/>
    <col min="6" max="6" width="20.88671875" customWidth="1"/>
    <col min="7" max="7" width="13.5546875" customWidth="1"/>
    <col min="8" max="8" width="13.88671875" customWidth="1"/>
    <col min="9" max="9" width="15.77734375" customWidth="1"/>
    <col min="10" max="10" width="14.5546875" customWidth="1"/>
    <col min="11" max="11" width="24.77734375" customWidth="1"/>
    <col min="12" max="12" width="23" customWidth="1"/>
    <col min="13" max="13" width="19.21875" customWidth="1"/>
  </cols>
  <sheetData>
    <row r="1" spans="1:16">
      <c r="A1" s="7" t="s">
        <v>53</v>
      </c>
      <c r="B1" s="8"/>
      <c r="C1" s="8"/>
    </row>
    <row r="2" spans="1:16">
      <c r="A2" s="8"/>
      <c r="B2" s="8"/>
      <c r="C2" s="8"/>
    </row>
    <row r="3" spans="1:16">
      <c r="A3" s="8"/>
      <c r="B3" s="8"/>
      <c r="C3" s="8"/>
    </row>
    <row r="11" spans="1:16">
      <c r="A11" s="7" t="s">
        <v>50</v>
      </c>
      <c r="B11" s="8"/>
      <c r="C11" s="2"/>
      <c r="D11" s="7" t="s">
        <v>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>
      <c r="A12" s="8"/>
      <c r="B12" s="8"/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5" spans="1:16">
      <c r="C15" s="1" t="s">
        <v>1</v>
      </c>
      <c r="D15" s="1">
        <v>100</v>
      </c>
    </row>
    <row r="16" spans="1:16">
      <c r="C16" t="s">
        <v>2</v>
      </c>
      <c r="D16">
        <v>50</v>
      </c>
      <c r="F16" s="8" t="s">
        <v>7</v>
      </c>
      <c r="G16" s="8"/>
      <c r="H16" s="8"/>
      <c r="I16" s="8"/>
    </row>
    <row r="17" spans="1:16">
      <c r="C17" s="1" t="s">
        <v>3</v>
      </c>
      <c r="D17" s="1">
        <v>5000</v>
      </c>
      <c r="F17" s="8"/>
      <c r="G17" s="8"/>
      <c r="H17" s="8"/>
      <c r="I17" s="8"/>
      <c r="K17" s="1" t="s">
        <v>9</v>
      </c>
      <c r="L17" s="1">
        <f>(D17*D15)/(D20*D21)</f>
        <v>2253.7649142893206</v>
      </c>
    </row>
    <row r="18" spans="1:16">
      <c r="C18" t="s">
        <v>4</v>
      </c>
      <c r="D18">
        <v>2</v>
      </c>
    </row>
    <row r="19" spans="1:16">
      <c r="C19" s="1" t="s">
        <v>5</v>
      </c>
      <c r="D19" s="1">
        <v>200</v>
      </c>
      <c r="K19" s="1" t="s">
        <v>10</v>
      </c>
      <c r="L19" s="1">
        <f>(D19*D15)/(D20*D21)</f>
        <v>90.150596571572819</v>
      </c>
    </row>
    <row r="20" spans="1:16">
      <c r="C20" t="s">
        <v>6</v>
      </c>
      <c r="D20">
        <v>0.28699999999999998</v>
      </c>
    </row>
    <row r="21" spans="1:16">
      <c r="C21" s="1" t="s">
        <v>8</v>
      </c>
      <c r="D21" s="1">
        <v>773</v>
      </c>
    </row>
    <row r="22" spans="1:16">
      <c r="C22" s="1" t="s">
        <v>11</v>
      </c>
      <c r="D22" s="1">
        <v>4</v>
      </c>
      <c r="K22" s="1" t="s">
        <v>15</v>
      </c>
      <c r="L22">
        <f>(L17-L19)/D25</f>
        <v>4.292885551027277E-2</v>
      </c>
    </row>
    <row r="23" spans="1:16">
      <c r="C23" s="3" t="s">
        <v>12</v>
      </c>
      <c r="D23" s="3">
        <f>4*3600</f>
        <v>14400</v>
      </c>
    </row>
    <row r="24" spans="1:16">
      <c r="C24" s="1" t="s">
        <v>13</v>
      </c>
      <c r="D24" s="1">
        <v>14</v>
      </c>
      <c r="K24" s="1" t="s">
        <v>16</v>
      </c>
      <c r="L24">
        <f xml:space="preserve"> (L17-L19)/D23</f>
        <v>0.1502509942859547</v>
      </c>
    </row>
    <row r="25" spans="1:16">
      <c r="C25" t="s">
        <v>14</v>
      </c>
      <c r="D25">
        <f>14*3600</f>
        <v>50400</v>
      </c>
    </row>
    <row r="29" spans="1:16">
      <c r="A29" s="7" t="s">
        <v>49</v>
      </c>
      <c r="B29" s="8"/>
      <c r="D29" s="7" t="s">
        <v>17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>
      <c r="A30" s="8"/>
      <c r="B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2" spans="1:16">
      <c r="C32" t="s">
        <v>18</v>
      </c>
      <c r="D32">
        <v>21.2</v>
      </c>
    </row>
    <row r="33" spans="3:12">
      <c r="C33" s="1" t="s">
        <v>19</v>
      </c>
      <c r="D33" s="1">
        <v>294.2</v>
      </c>
      <c r="G33" s="8" t="s">
        <v>24</v>
      </c>
      <c r="H33" s="8"/>
      <c r="I33" s="8"/>
    </row>
    <row r="34" spans="3:12">
      <c r="G34" s="8"/>
      <c r="H34" s="8"/>
      <c r="I34" s="8"/>
    </row>
    <row r="35" spans="3:12">
      <c r="C35" s="1" t="s">
        <v>21</v>
      </c>
      <c r="D35" s="1">
        <v>1.006</v>
      </c>
    </row>
    <row r="36" spans="3:12">
      <c r="C36" s="1" t="s">
        <v>20</v>
      </c>
      <c r="D36" s="1">
        <v>1.127</v>
      </c>
      <c r="K36" s="1" t="s">
        <v>26</v>
      </c>
      <c r="L36" s="1">
        <f>(80/(L22)) + D39</f>
        <v>2159.5135999999998</v>
      </c>
    </row>
    <row r="38" spans="3:12">
      <c r="C38" s="3" t="s">
        <v>22</v>
      </c>
      <c r="K38" t="s">
        <v>27</v>
      </c>
    </row>
    <row r="39" spans="3:12">
      <c r="C39" s="1" t="s">
        <v>23</v>
      </c>
      <c r="D39" s="1">
        <f>D35*D33</f>
        <v>295.96519999999998</v>
      </c>
    </row>
    <row r="40" spans="3:12">
      <c r="K40" s="1" t="s">
        <v>28</v>
      </c>
      <c r="L40" s="1">
        <f>L36/D36</f>
        <v>1916.161135758651</v>
      </c>
    </row>
    <row r="41" spans="3:12">
      <c r="C41" s="1" t="s">
        <v>25</v>
      </c>
      <c r="D41" s="1">
        <v>80</v>
      </c>
    </row>
    <row r="44" spans="3:12">
      <c r="C44" s="7" t="s">
        <v>29</v>
      </c>
      <c r="D44" s="8"/>
    </row>
    <row r="45" spans="3:12">
      <c r="C45" s="8"/>
      <c r="D45" s="8"/>
    </row>
    <row r="46" spans="3:12">
      <c r="E46" s="8" t="s">
        <v>30</v>
      </c>
      <c r="F46" s="8"/>
      <c r="G46" s="8"/>
      <c r="H46" s="8"/>
    </row>
    <row r="47" spans="3:12">
      <c r="E47" s="8"/>
      <c r="F47" s="8"/>
      <c r="G47" s="8"/>
      <c r="H47" s="8"/>
    </row>
    <row r="51" spans="3:10">
      <c r="C51" t="s">
        <v>33</v>
      </c>
      <c r="D51">
        <v>294.2</v>
      </c>
      <c r="F51" s="1" t="s">
        <v>32</v>
      </c>
    </row>
    <row r="52" spans="3:10">
      <c r="C52" t="s">
        <v>34</v>
      </c>
      <c r="D52">
        <v>1916.1611359999999</v>
      </c>
      <c r="I52" s="1" t="s">
        <v>39</v>
      </c>
      <c r="J52" s="1">
        <f>((D55*(LN(D52/D51))) - (D56*(LN(D54/D53))))</f>
        <v>0.98904368885170868</v>
      </c>
    </row>
    <row r="53" spans="3:10">
      <c r="C53" t="s">
        <v>35</v>
      </c>
      <c r="D53">
        <v>1</v>
      </c>
    </row>
    <row r="54" spans="3:10">
      <c r="C54" t="s">
        <v>36</v>
      </c>
      <c r="D54">
        <v>50</v>
      </c>
    </row>
    <row r="55" spans="3:10">
      <c r="C55" t="s">
        <v>37</v>
      </c>
      <c r="D55">
        <v>1.127</v>
      </c>
      <c r="F55" s="1" t="s">
        <v>31</v>
      </c>
    </row>
    <row r="56" spans="3:10">
      <c r="C56" t="s">
        <v>38</v>
      </c>
      <c r="D56">
        <v>0.28699999999999998</v>
      </c>
    </row>
    <row r="58" spans="3:10">
      <c r="C58" s="3" t="s">
        <v>40</v>
      </c>
      <c r="D58">
        <v>4.2928856000000001E-2</v>
      </c>
      <c r="F58" t="s">
        <v>45</v>
      </c>
      <c r="G58">
        <f>(D58*(D59-D60)) - (D61*D58*(D62))</f>
        <v>-67.559656280513011</v>
      </c>
    </row>
    <row r="59" spans="3:10">
      <c r="C59" s="3" t="s">
        <v>41</v>
      </c>
      <c r="D59">
        <v>295.96519999999998</v>
      </c>
      <c r="F59" s="1" t="s">
        <v>48</v>
      </c>
      <c r="G59" s="1">
        <v>67.508706059999994</v>
      </c>
    </row>
    <row r="60" spans="3:10">
      <c r="C60" s="3" t="s">
        <v>42</v>
      </c>
      <c r="D60">
        <v>2159.5136000000002</v>
      </c>
    </row>
    <row r="61" spans="3:10">
      <c r="C61" s="3" t="s">
        <v>43</v>
      </c>
      <c r="D61">
        <v>293</v>
      </c>
      <c r="F61" s="1" t="s">
        <v>46</v>
      </c>
    </row>
    <row r="62" spans="3:10">
      <c r="C62" s="3" t="s">
        <v>44</v>
      </c>
      <c r="D62" s="3">
        <v>-0.98904368899999995</v>
      </c>
      <c r="F62" s="1" t="s">
        <v>47</v>
      </c>
      <c r="G62" s="1">
        <f>G58+D63</f>
        <v>12.440343719486989</v>
      </c>
    </row>
    <row r="63" spans="3:10">
      <c r="C63" s="3" t="s">
        <v>25</v>
      </c>
      <c r="D63" s="3">
        <v>80</v>
      </c>
    </row>
    <row r="66" spans="1:16">
      <c r="A66" s="7" t="s">
        <v>51</v>
      </c>
      <c r="B66" s="8"/>
      <c r="D66" s="7" t="s">
        <v>52</v>
      </c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>
      <c r="A67" s="8"/>
      <c r="B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</row>
    <row r="69" spans="1:16">
      <c r="C69" s="1" t="s">
        <v>54</v>
      </c>
    </row>
    <row r="70" spans="1:16">
      <c r="C70" t="s">
        <v>56</v>
      </c>
      <c r="D70">
        <v>50</v>
      </c>
      <c r="F70" s="1" t="s">
        <v>64</v>
      </c>
    </row>
    <row r="71" spans="1:16">
      <c r="C71" s="1" t="s">
        <v>57</v>
      </c>
      <c r="D71" s="1">
        <v>1916.1611</v>
      </c>
    </row>
    <row r="72" spans="1:16">
      <c r="C72" t="s">
        <v>58</v>
      </c>
      <c r="D72">
        <v>50</v>
      </c>
      <c r="F72" s="1" t="s">
        <v>65</v>
      </c>
      <c r="G72" s="1">
        <f>(D74*(D75-D76))/(4.2*(D82-D80))</f>
        <v>0.21947268604333969</v>
      </c>
    </row>
    <row r="73" spans="1:16">
      <c r="C73" s="1" t="s">
        <v>59</v>
      </c>
      <c r="D73" s="1">
        <v>773</v>
      </c>
    </row>
    <row r="74" spans="1:16">
      <c r="C74" s="1" t="s">
        <v>40</v>
      </c>
      <c r="D74" s="1">
        <v>4.2928856000000001E-2</v>
      </c>
    </row>
    <row r="75" spans="1:16">
      <c r="C75" s="1" t="s">
        <v>41</v>
      </c>
      <c r="D75" s="1">
        <v>2159.5136000000002</v>
      </c>
      <c r="L75" t="s">
        <v>188</v>
      </c>
      <c r="M75">
        <f xml:space="preserve"> D93*14*3600</f>
        <v>1887311.5618534377</v>
      </c>
    </row>
    <row r="76" spans="1:16">
      <c r="C76" s="1" t="s">
        <v>42</v>
      </c>
      <c r="D76" s="1">
        <v>871.17</v>
      </c>
    </row>
    <row r="77" spans="1:16">
      <c r="L77" t="s">
        <v>189</v>
      </c>
      <c r="M77">
        <f xml:space="preserve"> (M75/(4.2*(D82-D80)))</f>
        <v>7489.331594656499</v>
      </c>
    </row>
    <row r="78" spans="1:16">
      <c r="C78" s="1" t="s">
        <v>55</v>
      </c>
    </row>
    <row r="79" spans="1:16">
      <c r="C79" t="s">
        <v>60</v>
      </c>
      <c r="D79">
        <v>1</v>
      </c>
    </row>
    <row r="80" spans="1:16">
      <c r="C80" s="1" t="s">
        <v>61</v>
      </c>
      <c r="D80" s="1">
        <v>293</v>
      </c>
    </row>
    <row r="81" spans="3:7">
      <c r="C81" t="s">
        <v>62</v>
      </c>
      <c r="D81">
        <v>1</v>
      </c>
    </row>
    <row r="82" spans="3:7">
      <c r="C82" s="1" t="s">
        <v>63</v>
      </c>
      <c r="D82" s="1">
        <v>353</v>
      </c>
    </row>
    <row r="84" spans="3:7">
      <c r="C84" s="1" t="s">
        <v>70</v>
      </c>
      <c r="D84" s="1">
        <v>293</v>
      </c>
    </row>
    <row r="85" spans="3:7">
      <c r="C85" s="7" t="s">
        <v>66</v>
      </c>
      <c r="D85" s="8"/>
    </row>
    <row r="86" spans="3:7">
      <c r="C86" s="8"/>
      <c r="D86" s="8"/>
    </row>
    <row r="87" spans="3:7">
      <c r="F87" s="1" t="s">
        <v>67</v>
      </c>
    </row>
    <row r="91" spans="3:7">
      <c r="C91" s="1" t="s">
        <v>71</v>
      </c>
      <c r="D91" s="1">
        <f>(D84*D74*G91) + (D84*G72*G92)</f>
        <v>37.446657973282498</v>
      </c>
      <c r="F91" t="s">
        <v>68</v>
      </c>
      <c r="G91">
        <f>1.127*(LN(D73/D71))</f>
        <v>-1.0230905862825661</v>
      </c>
    </row>
    <row r="92" spans="3:7">
      <c r="C92" s="1"/>
      <c r="D92" s="1"/>
      <c r="F92" t="s">
        <v>69</v>
      </c>
      <c r="G92">
        <f>4.2 *(LN(D82/D80))</f>
        <v>0.78244088124816347</v>
      </c>
    </row>
    <row r="93" spans="3:7">
      <c r="C93" s="1" t="s">
        <v>45</v>
      </c>
      <c r="D93" s="1">
        <v>37.446657973282498</v>
      </c>
    </row>
    <row r="96" spans="3:7">
      <c r="C96" s="1"/>
      <c r="D96" s="1"/>
    </row>
    <row r="97" spans="1:16">
      <c r="A97" s="7" t="s">
        <v>73</v>
      </c>
      <c r="B97" s="8"/>
      <c r="D97" s="7" t="s">
        <v>72</v>
      </c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1:16">
      <c r="A98" s="8"/>
      <c r="B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</row>
    <row r="99" spans="1:16">
      <c r="C99" t="s">
        <v>74</v>
      </c>
      <c r="D99">
        <v>773</v>
      </c>
    </row>
    <row r="100" spans="1:16">
      <c r="C100" t="s">
        <v>75</v>
      </c>
      <c r="D100">
        <v>50</v>
      </c>
    </row>
    <row r="101" spans="1:16">
      <c r="C101" t="s">
        <v>76</v>
      </c>
      <c r="D101">
        <v>1.1000000000000001</v>
      </c>
    </row>
    <row r="102" spans="1:16">
      <c r="C102" t="s">
        <v>77</v>
      </c>
      <c r="D102">
        <v>1.4</v>
      </c>
    </row>
    <row r="104" spans="1:16">
      <c r="C104" t="s">
        <v>79</v>
      </c>
      <c r="D104">
        <f>(D102-1)/D102</f>
        <v>0.28571428571428564</v>
      </c>
    </row>
    <row r="106" spans="1:16">
      <c r="C106" t="s">
        <v>85</v>
      </c>
      <c r="D106">
        <v>0.150250994</v>
      </c>
    </row>
    <row r="108" spans="1:16">
      <c r="C108" s="1" t="s">
        <v>78</v>
      </c>
    </row>
    <row r="109" spans="1:16">
      <c r="D109" s="1" t="s">
        <v>80</v>
      </c>
      <c r="E109" s="1">
        <f>D99*POWER((D101/D100),D104)</f>
        <v>259.76819349035247</v>
      </c>
    </row>
    <row r="112" spans="1:16">
      <c r="C112" s="1" t="s">
        <v>81</v>
      </c>
    </row>
    <row r="113" spans="1:8">
      <c r="D113" s="1" t="s">
        <v>82</v>
      </c>
      <c r="E113" s="1">
        <f>D99-0.85*(D99-E109)</f>
        <v>336.7529644667996</v>
      </c>
    </row>
    <row r="116" spans="1:8">
      <c r="C116" s="1" t="s">
        <v>83</v>
      </c>
    </row>
    <row r="117" spans="1:8">
      <c r="D117" s="1" t="s">
        <v>86</v>
      </c>
      <c r="E117" s="1">
        <f>D106*1.127*(D99-E113)</f>
        <v>73.870962659655603</v>
      </c>
    </row>
    <row r="118" spans="1:8">
      <c r="C118" t="s">
        <v>84</v>
      </c>
    </row>
    <row r="119" spans="1:8">
      <c r="D119" s="1" t="s">
        <v>87</v>
      </c>
      <c r="E119" s="1">
        <f>D106*1.127*(D99-E109)</f>
        <v>86.907014893712471</v>
      </c>
    </row>
    <row r="121" spans="1:8">
      <c r="D121" s="1" t="s">
        <v>88</v>
      </c>
      <c r="E121" s="1">
        <f>E119-E117</f>
        <v>13.036052234056868</v>
      </c>
    </row>
    <row r="125" spans="1:8">
      <c r="A125" s="7" t="s">
        <v>190</v>
      </c>
      <c r="B125" s="8"/>
      <c r="D125" s="7" t="s">
        <v>187</v>
      </c>
      <c r="E125" s="7"/>
      <c r="F125" s="7"/>
    </row>
    <row r="126" spans="1:8">
      <c r="A126" s="8"/>
      <c r="B126" s="8"/>
      <c r="D126" s="7"/>
      <c r="E126" s="7"/>
      <c r="F126" s="7"/>
    </row>
    <row r="128" spans="1:8">
      <c r="C128" t="s">
        <v>192</v>
      </c>
      <c r="D128">
        <v>86.907014893712471</v>
      </c>
      <c r="G128" t="s">
        <v>188</v>
      </c>
      <c r="H128">
        <v>1887311.5618534377</v>
      </c>
    </row>
    <row r="130" spans="3:4">
      <c r="C130" t="s">
        <v>193</v>
      </c>
      <c r="D130">
        <f>D128*4*3600</f>
        <v>1251461.0144694597</v>
      </c>
    </row>
    <row r="132" spans="3:4">
      <c r="C132" t="s">
        <v>25</v>
      </c>
      <c r="D132">
        <v>80</v>
      </c>
    </row>
    <row r="134" spans="3:4">
      <c r="C134" t="s">
        <v>186</v>
      </c>
      <c r="D134">
        <f>D132*14*3600</f>
        <v>4032000</v>
      </c>
    </row>
    <row r="137" spans="3:4">
      <c r="C137" t="s">
        <v>191</v>
      </c>
      <c r="D137">
        <f xml:space="preserve"> (D130+H128)/D134</f>
        <v>0.77846542071500435</v>
      </c>
    </row>
    <row r="139" spans="3:4">
      <c r="C139" s="1" t="s">
        <v>191</v>
      </c>
      <c r="D139" s="6">
        <v>0.77839999999999998</v>
      </c>
    </row>
  </sheetData>
  <mergeCells count="16">
    <mergeCell ref="A125:B126"/>
    <mergeCell ref="D125:F126"/>
    <mergeCell ref="C85:D86"/>
    <mergeCell ref="A97:B98"/>
    <mergeCell ref="D97:P98"/>
    <mergeCell ref="A1:C3"/>
    <mergeCell ref="D11:P12"/>
    <mergeCell ref="A11:B12"/>
    <mergeCell ref="A66:B67"/>
    <mergeCell ref="D66:P67"/>
    <mergeCell ref="G33:I34"/>
    <mergeCell ref="C44:D45"/>
    <mergeCell ref="E46:H47"/>
    <mergeCell ref="F16:I17"/>
    <mergeCell ref="A29:B30"/>
    <mergeCell ref="D29:P3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21"/>
  <sheetViews>
    <sheetView topLeftCell="A211" zoomScale="70" zoomScaleNormal="70" workbookViewId="0">
      <selection activeCell="E232" sqref="E232"/>
    </sheetView>
  </sheetViews>
  <sheetFormatPr defaultRowHeight="14.4"/>
  <cols>
    <col min="2" max="2" width="23.88671875" customWidth="1"/>
    <col min="3" max="3" width="42" customWidth="1"/>
    <col min="4" max="4" width="29.33203125" customWidth="1"/>
    <col min="5" max="5" width="37.109375" customWidth="1"/>
    <col min="6" max="6" width="43" customWidth="1"/>
    <col min="7" max="7" width="52.44140625" customWidth="1"/>
    <col min="8" max="8" width="18.77734375" customWidth="1"/>
    <col min="9" max="9" width="25" customWidth="1"/>
    <col min="10" max="10" width="51.6640625" customWidth="1"/>
    <col min="11" max="11" width="32.44140625" customWidth="1"/>
    <col min="12" max="12" width="24.21875" customWidth="1"/>
    <col min="13" max="13" width="28.21875" customWidth="1"/>
    <col min="16" max="16" width="17.33203125" customWidth="1"/>
    <col min="17" max="17" width="24.21875" customWidth="1"/>
  </cols>
  <sheetData>
    <row r="1" spans="1:16">
      <c r="A1" s="7" t="s">
        <v>90</v>
      </c>
      <c r="B1" s="7"/>
      <c r="C1" s="7"/>
      <c r="D1" s="7"/>
      <c r="E1" s="7"/>
      <c r="F1" s="7"/>
      <c r="G1" s="7"/>
    </row>
    <row r="2" spans="1:16">
      <c r="A2" s="7"/>
      <c r="B2" s="7"/>
      <c r="C2" s="7"/>
      <c r="D2" s="7"/>
      <c r="E2" s="7"/>
      <c r="F2" s="7"/>
      <c r="G2" s="7"/>
    </row>
    <row r="3" spans="1:16">
      <c r="A3" s="7"/>
      <c r="B3" s="7"/>
      <c r="C3" s="7"/>
      <c r="D3" s="7"/>
      <c r="E3" s="7"/>
      <c r="F3" s="7"/>
      <c r="G3" s="7"/>
    </row>
    <row r="8" spans="1:16">
      <c r="A8" s="7"/>
      <c r="B8" s="8"/>
      <c r="C8" s="2"/>
      <c r="D8" s="7" t="s">
        <v>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>
      <c r="A9" s="8"/>
      <c r="B9" s="8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>
      <c r="B10" s="2"/>
      <c r="C10" s="1" t="s">
        <v>1</v>
      </c>
      <c r="D10" s="1">
        <v>100</v>
      </c>
      <c r="E10" s="2"/>
      <c r="F10" s="2"/>
      <c r="G10" s="2"/>
      <c r="H10" s="2"/>
      <c r="I10" s="2"/>
      <c r="J10" s="2"/>
      <c r="K10" s="2"/>
      <c r="L10" s="2"/>
    </row>
    <row r="11" spans="1:16">
      <c r="C11" t="s">
        <v>2</v>
      </c>
      <c r="D11">
        <v>50</v>
      </c>
    </row>
    <row r="12" spans="1:16">
      <c r="C12" s="1" t="s">
        <v>3</v>
      </c>
      <c r="D12" s="1">
        <v>5000</v>
      </c>
    </row>
    <row r="13" spans="1:16">
      <c r="C13" t="s">
        <v>4</v>
      </c>
      <c r="D13">
        <v>2</v>
      </c>
      <c r="F13" s="8" t="s">
        <v>7</v>
      </c>
      <c r="G13" s="8"/>
      <c r="H13" s="8"/>
      <c r="I13" s="8"/>
    </row>
    <row r="14" spans="1:16">
      <c r="C14" s="1" t="s">
        <v>5</v>
      </c>
      <c r="D14" s="1">
        <v>200</v>
      </c>
      <c r="F14" s="8"/>
      <c r="G14" s="8"/>
      <c r="H14" s="8"/>
      <c r="I14" s="8"/>
      <c r="K14" s="1" t="s">
        <v>9</v>
      </c>
      <c r="L14" s="1">
        <f>(D12*D10)/(D15*D16)</f>
        <v>2253.7649142893206</v>
      </c>
    </row>
    <row r="15" spans="1:16">
      <c r="C15" t="s">
        <v>6</v>
      </c>
      <c r="D15">
        <v>0.28699999999999998</v>
      </c>
    </row>
    <row r="16" spans="1:16">
      <c r="C16" s="1" t="s">
        <v>8</v>
      </c>
      <c r="D16" s="1">
        <v>773</v>
      </c>
      <c r="K16" s="1" t="s">
        <v>10</v>
      </c>
      <c r="L16" s="1">
        <f>(D14*D10)/(D15*D16)</f>
        <v>90.150596571572819</v>
      </c>
    </row>
    <row r="17" spans="3:12">
      <c r="C17" s="1" t="s">
        <v>11</v>
      </c>
      <c r="D17" s="1">
        <v>4</v>
      </c>
    </row>
    <row r="18" spans="3:12">
      <c r="C18" s="3" t="s">
        <v>12</v>
      </c>
      <c r="D18" s="3">
        <f>4*3600</f>
        <v>14400</v>
      </c>
    </row>
    <row r="19" spans="3:12">
      <c r="C19" s="1" t="s">
        <v>13</v>
      </c>
      <c r="D19" s="1">
        <v>14</v>
      </c>
      <c r="K19" s="1" t="s">
        <v>15</v>
      </c>
      <c r="L19">
        <f>(L14-L16)/D20</f>
        <v>4.292885551027277E-2</v>
      </c>
    </row>
    <row r="20" spans="3:12">
      <c r="C20" t="s">
        <v>14</v>
      </c>
      <c r="D20">
        <f>14*3600</f>
        <v>50400</v>
      </c>
    </row>
    <row r="21" spans="3:12">
      <c r="C21" s="1" t="s">
        <v>93</v>
      </c>
      <c r="D21" s="1">
        <v>773</v>
      </c>
      <c r="K21" s="1" t="s">
        <v>16</v>
      </c>
      <c r="L21">
        <f xml:space="preserve"> (L14-L16)/D18</f>
        <v>0.1502509942859547</v>
      </c>
    </row>
    <row r="22" spans="3:12">
      <c r="C22" s="1" t="s">
        <v>89</v>
      </c>
      <c r="D22" s="1">
        <v>1.127</v>
      </c>
    </row>
    <row r="23" spans="3:12">
      <c r="C23" s="1" t="s">
        <v>96</v>
      </c>
      <c r="D23" s="1">
        <v>1.006</v>
      </c>
    </row>
    <row r="25" spans="3:12">
      <c r="C25" s="1" t="s">
        <v>98</v>
      </c>
      <c r="D25" s="1">
        <v>295.96519999999998</v>
      </c>
    </row>
    <row r="26" spans="3:12">
      <c r="C26" s="1" t="s">
        <v>97</v>
      </c>
      <c r="D26" s="1">
        <v>80</v>
      </c>
    </row>
    <row r="27" spans="3:12">
      <c r="C27" s="1" t="s">
        <v>101</v>
      </c>
      <c r="D27" s="1">
        <v>293</v>
      </c>
    </row>
    <row r="28" spans="3:12">
      <c r="C28" s="1" t="s">
        <v>19</v>
      </c>
      <c r="D28" s="1">
        <v>294.2</v>
      </c>
    </row>
    <row r="29" spans="3:12">
      <c r="C29" s="1" t="s">
        <v>102</v>
      </c>
      <c r="D29" s="1">
        <v>1</v>
      </c>
    </row>
    <row r="51" spans="1:11">
      <c r="A51" s="7" t="s">
        <v>91</v>
      </c>
      <c r="B51" s="7"/>
      <c r="C51" s="7"/>
      <c r="D51" s="7"/>
      <c r="E51" s="7"/>
      <c r="F51" s="7"/>
      <c r="G51" s="7"/>
      <c r="H51" s="7"/>
      <c r="I51" s="7"/>
      <c r="J51" s="7"/>
    </row>
    <row r="52" spans="1:11">
      <c r="A52" s="7"/>
      <c r="B52" s="7"/>
      <c r="C52" s="7"/>
      <c r="D52" s="7"/>
      <c r="E52" s="7"/>
      <c r="F52" s="7"/>
      <c r="G52" s="7"/>
      <c r="H52" s="7"/>
      <c r="I52" s="7"/>
      <c r="J52" s="7"/>
    </row>
    <row r="54" spans="1:11">
      <c r="A54" s="7" t="s">
        <v>107</v>
      </c>
      <c r="B54" s="7"/>
      <c r="C54" s="7"/>
    </row>
    <row r="55" spans="1:11">
      <c r="A55" s="7"/>
      <c r="B55" s="7"/>
      <c r="C55" s="7"/>
    </row>
    <row r="56" spans="1:11">
      <c r="A56" s="7"/>
      <c r="B56" s="7"/>
      <c r="C56" s="7"/>
    </row>
    <row r="58" spans="1:11">
      <c r="B58" s="1" t="s">
        <v>92</v>
      </c>
      <c r="C58" s="1" t="s">
        <v>94</v>
      </c>
      <c r="D58" s="1" t="s">
        <v>95</v>
      </c>
      <c r="E58" s="1" t="s">
        <v>105</v>
      </c>
      <c r="F58" s="1" t="s">
        <v>106</v>
      </c>
      <c r="G58" s="1" t="s">
        <v>99</v>
      </c>
      <c r="H58" s="1" t="s">
        <v>100</v>
      </c>
      <c r="I58" s="1" t="s">
        <v>104</v>
      </c>
      <c r="J58" s="1" t="s">
        <v>103</v>
      </c>
      <c r="K58" s="1" t="s">
        <v>47</v>
      </c>
    </row>
    <row r="60" spans="1:11">
      <c r="B60">
        <v>50</v>
      </c>
      <c r="C60">
        <f t="shared" ref="C60:C65" si="0">(B60*100*$D$10)/($D$15*$D$16)</f>
        <v>2253.7649142893206</v>
      </c>
      <c r="D60">
        <f t="shared" ref="D60:D65" si="1">($D$13*100*$D$10)/($D$15*$D$16)</f>
        <v>90.150596571572819</v>
      </c>
      <c r="E60">
        <f t="shared" ref="E60:E65" si="2">(C60-D60)/$D$20</f>
        <v>4.292885551027277E-2</v>
      </c>
      <c r="F60">
        <f t="shared" ref="F60:F65" si="3">(C60-$D$60)/$D$18</f>
        <v>0.1502509942859547</v>
      </c>
      <c r="G60">
        <f>($D$26/E60)+$D$25</f>
        <v>2159.5135999999998</v>
      </c>
      <c r="H60">
        <f>(G60/$D$22)</f>
        <v>1916.161135758651</v>
      </c>
      <c r="I60">
        <f>-(($D$22* LN(H60/$D$28)) - ($D$15*LN(B60/$D$29)))</f>
        <v>-0.98904368870975778</v>
      </c>
      <c r="J60">
        <f xml:space="preserve"> E60*($D$25-G60)-$D$27*E60*(I60)</f>
        <v>-67.559655513451247</v>
      </c>
      <c r="K60">
        <f>$D$26+J60</f>
        <v>12.440344486548753</v>
      </c>
    </row>
    <row r="61" spans="1:11">
      <c r="B61">
        <v>60</v>
      </c>
      <c r="C61">
        <f t="shared" si="0"/>
        <v>2704.5178971471846</v>
      </c>
      <c r="D61">
        <f t="shared" si="1"/>
        <v>90.150596571572819</v>
      </c>
      <c r="E61">
        <f t="shared" si="2"/>
        <v>5.1872367074912933E-2</v>
      </c>
      <c r="F61">
        <f t="shared" si="3"/>
        <v>0.18155328476219526</v>
      </c>
      <c r="G61">
        <f t="shared" ref="G61:G65" si="4">($D$26/E61)+$D$25</f>
        <v>1838.2121517241376</v>
      </c>
      <c r="H61">
        <f t="shared" ref="H61:H65" si="5">(G61/$D$22)</f>
        <v>1631.0666829850377</v>
      </c>
      <c r="I61">
        <f t="shared" ref="I61:I65" si="6">-(($D$22* LN(H61/$D$28)) - ($D$15*LN(B61/$D$29)))</f>
        <v>-0.75516945813373382</v>
      </c>
      <c r="J61">
        <f t="shared" ref="J61:J65" si="7" xml:space="preserve"> E61*($D$25-G61)-$D$27*E61*(I61)</f>
        <v>-68.522478790529675</v>
      </c>
      <c r="K61">
        <f t="shared" ref="K61:K65" si="8">$D$26+J61</f>
        <v>11.477521209470325</v>
      </c>
    </row>
    <row r="62" spans="1:11">
      <c r="B62" s="1">
        <v>70</v>
      </c>
      <c r="C62" s="1">
        <f t="shared" si="0"/>
        <v>3155.2708800050486</v>
      </c>
      <c r="D62" s="1">
        <f t="shared" si="1"/>
        <v>90.150596571572819</v>
      </c>
      <c r="E62" s="1">
        <f t="shared" si="2"/>
        <v>6.0815878639553095E-2</v>
      </c>
      <c r="F62" s="1">
        <f t="shared" si="3"/>
        <v>0.21285557523843582</v>
      </c>
      <c r="G62" s="1">
        <f t="shared" si="4"/>
        <v>1611.4111294117647</v>
      </c>
      <c r="H62" s="1">
        <f t="shared" si="5"/>
        <v>1429.8235398507229</v>
      </c>
      <c r="I62" s="1">
        <f t="shared" si="6"/>
        <v>-0.56252128091177078</v>
      </c>
      <c r="J62" s="1">
        <f t="shared" si="7"/>
        <v>-69.976403796035811</v>
      </c>
      <c r="K62" s="1">
        <f t="shared" si="8"/>
        <v>10.023596203964189</v>
      </c>
    </row>
    <row r="63" spans="1:11">
      <c r="B63">
        <v>80</v>
      </c>
      <c r="C63">
        <f t="shared" si="0"/>
        <v>3606.0238628629131</v>
      </c>
      <c r="D63">
        <f t="shared" si="1"/>
        <v>90.150596571572819</v>
      </c>
      <c r="E63">
        <f t="shared" si="2"/>
        <v>6.9759390204193264E-2</v>
      </c>
      <c r="F63">
        <f t="shared" si="3"/>
        <v>0.2441578657146764</v>
      </c>
      <c r="G63">
        <f t="shared" si="4"/>
        <v>1442.764215384615</v>
      </c>
      <c r="H63">
        <f t="shared" si="5"/>
        <v>1280.181202648283</v>
      </c>
      <c r="I63">
        <f t="shared" si="6"/>
        <v>-0.39960859126316439</v>
      </c>
      <c r="J63">
        <f t="shared" si="7"/>
        <v>-71.832199667465588</v>
      </c>
      <c r="K63">
        <f t="shared" si="8"/>
        <v>8.1678003325344122</v>
      </c>
    </row>
    <row r="64" spans="1:11">
      <c r="B64">
        <v>90</v>
      </c>
      <c r="C64">
        <f t="shared" si="0"/>
        <v>4056.7768457207771</v>
      </c>
      <c r="D64">
        <f t="shared" si="1"/>
        <v>90.150596571572819</v>
      </c>
      <c r="E64">
        <f t="shared" si="2"/>
        <v>7.8702901768833419E-2</v>
      </c>
      <c r="F64">
        <f t="shared" si="3"/>
        <v>0.27546015619091696</v>
      </c>
      <c r="G64">
        <f t="shared" si="4"/>
        <v>1312.4461454545453</v>
      </c>
      <c r="H64">
        <f t="shared" si="5"/>
        <v>1164.5484875373072</v>
      </c>
      <c r="I64">
        <f t="shared" si="6"/>
        <v>-0.25911381561181779</v>
      </c>
      <c r="J64">
        <f t="shared" si="7"/>
        <v>-74.024848311125965</v>
      </c>
      <c r="K64">
        <f t="shared" si="8"/>
        <v>5.9751516888740355</v>
      </c>
    </row>
    <row r="65" spans="1:12">
      <c r="B65">
        <v>100</v>
      </c>
      <c r="C65">
        <f t="shared" si="0"/>
        <v>4507.5298285786412</v>
      </c>
      <c r="D65">
        <f t="shared" si="1"/>
        <v>90.150596571572819</v>
      </c>
      <c r="E65">
        <f t="shared" si="2"/>
        <v>8.7646413333473575E-2</v>
      </c>
      <c r="F65">
        <f t="shared" si="3"/>
        <v>0.30676244666715752</v>
      </c>
      <c r="G65">
        <f t="shared" si="4"/>
        <v>1208.7235999999998</v>
      </c>
      <c r="H65">
        <f t="shared" si="5"/>
        <v>1072.5142857142855</v>
      </c>
      <c r="I65">
        <f t="shared" si="6"/>
        <v>-0.13609196682591129</v>
      </c>
      <c r="J65">
        <f t="shared" si="7"/>
        <v>-76.505103976693746</v>
      </c>
      <c r="K65">
        <f t="shared" si="8"/>
        <v>3.4948960233062536</v>
      </c>
    </row>
    <row r="67" spans="1:12">
      <c r="B67" s="2"/>
      <c r="C67" s="2"/>
      <c r="E67" s="2"/>
      <c r="F67" s="2"/>
      <c r="G67" s="2"/>
      <c r="H67" s="2"/>
      <c r="I67" s="2"/>
      <c r="J67" s="2"/>
      <c r="K67" s="2"/>
    </row>
    <row r="68" spans="1:12">
      <c r="A68" s="7" t="s">
        <v>116</v>
      </c>
      <c r="B68" s="7"/>
      <c r="C68" s="7"/>
    </row>
    <row r="69" spans="1:12">
      <c r="A69" s="7"/>
      <c r="B69" s="7"/>
      <c r="C69" s="7"/>
    </row>
    <row r="70" spans="1:12">
      <c r="A70" s="7"/>
      <c r="B70" s="7"/>
      <c r="C70" s="7"/>
    </row>
    <row r="74" spans="1:12">
      <c r="C74" s="2"/>
      <c r="D74" s="2"/>
      <c r="F74" s="2"/>
      <c r="G74" s="2"/>
      <c r="H74" s="2"/>
      <c r="I74" s="2"/>
      <c r="J74" s="2"/>
      <c r="K74" s="2"/>
      <c r="L74" s="2"/>
    </row>
    <row r="75" spans="1:12">
      <c r="C75" s="1"/>
      <c r="D75" s="1"/>
      <c r="H75" s="1"/>
    </row>
    <row r="76" spans="1:12">
      <c r="I76" s="1"/>
    </row>
    <row r="95" spans="3:4">
      <c r="C95" s="8"/>
      <c r="D95" s="8"/>
    </row>
    <row r="96" spans="3:4">
      <c r="C96" s="8"/>
      <c r="D96" s="8"/>
    </row>
    <row r="105" spans="1:6">
      <c r="A105" s="7" t="s">
        <v>109</v>
      </c>
      <c r="B105" s="7"/>
      <c r="C105" s="7"/>
    </row>
    <row r="106" spans="1:6">
      <c r="A106" s="7"/>
      <c r="B106" s="7"/>
      <c r="C106" s="7"/>
    </row>
    <row r="107" spans="1:6">
      <c r="A107" s="7"/>
      <c r="B107" s="7"/>
      <c r="C107" s="7"/>
    </row>
    <row r="110" spans="1:6">
      <c r="B110" s="1" t="s">
        <v>54</v>
      </c>
    </row>
    <row r="111" spans="1:6">
      <c r="B111" t="s">
        <v>56</v>
      </c>
      <c r="C111">
        <v>50</v>
      </c>
      <c r="E111" s="1" t="s">
        <v>89</v>
      </c>
      <c r="F111" s="1">
        <v>1.127</v>
      </c>
    </row>
    <row r="112" spans="1:6">
      <c r="B112" s="1" t="s">
        <v>57</v>
      </c>
      <c r="C112" s="1">
        <v>1916.1611</v>
      </c>
      <c r="E112" s="1" t="s">
        <v>112</v>
      </c>
      <c r="F112" s="1">
        <v>4.2</v>
      </c>
    </row>
    <row r="113" spans="2:29">
      <c r="B113" t="s">
        <v>58</v>
      </c>
      <c r="C113">
        <v>50</v>
      </c>
    </row>
    <row r="114" spans="2:29">
      <c r="B114" s="1" t="s">
        <v>59</v>
      </c>
      <c r="C114" s="1">
        <v>773</v>
      </c>
    </row>
    <row r="115" spans="2:29">
      <c r="B115" s="1" t="s">
        <v>40</v>
      </c>
      <c r="C115" s="1">
        <v>4.2928856000000001E-2</v>
      </c>
    </row>
    <row r="116" spans="2:29">
      <c r="B116" s="1" t="s">
        <v>41</v>
      </c>
      <c r="C116" s="1">
        <v>2159.5136000000002</v>
      </c>
    </row>
    <row r="117" spans="2:29">
      <c r="B117" s="1" t="s">
        <v>42</v>
      </c>
      <c r="C117" s="1">
        <f>C114*F111</f>
        <v>871.17100000000005</v>
      </c>
    </row>
    <row r="119" spans="2:29">
      <c r="B119" s="1" t="s">
        <v>55</v>
      </c>
    </row>
    <row r="120" spans="2:29">
      <c r="B120" t="s">
        <v>60</v>
      </c>
      <c r="C120">
        <v>1</v>
      </c>
      <c r="AC120" t="s">
        <v>108</v>
      </c>
    </row>
    <row r="121" spans="2:29">
      <c r="B121" s="1" t="s">
        <v>61</v>
      </c>
      <c r="C121" s="1">
        <v>293</v>
      </c>
    </row>
    <row r="122" spans="2:29">
      <c r="B122" t="s">
        <v>62</v>
      </c>
      <c r="C122">
        <v>1</v>
      </c>
    </row>
    <row r="123" spans="2:29">
      <c r="B123" s="1" t="s">
        <v>63</v>
      </c>
      <c r="C123" s="1">
        <v>353</v>
      </c>
    </row>
    <row r="124" spans="2:29">
      <c r="E124" s="1" t="s">
        <v>114</v>
      </c>
      <c r="F124">
        <f>$F$112*LN(C123/C121)</f>
        <v>0.78244088124816347</v>
      </c>
    </row>
    <row r="125" spans="2:29">
      <c r="B125" s="1" t="s">
        <v>70</v>
      </c>
      <c r="C125" s="1">
        <v>293</v>
      </c>
    </row>
    <row r="127" spans="2:29">
      <c r="B127" s="1" t="s">
        <v>92</v>
      </c>
      <c r="C127" s="1" t="s">
        <v>105</v>
      </c>
      <c r="D127" s="1" t="s">
        <v>111</v>
      </c>
      <c r="E127" s="1" t="s">
        <v>110</v>
      </c>
      <c r="F127" s="1" t="s">
        <v>140</v>
      </c>
      <c r="G127" s="1" t="s">
        <v>113</v>
      </c>
      <c r="H127" s="1" t="s">
        <v>88</v>
      </c>
      <c r="I127" s="1" t="s">
        <v>115</v>
      </c>
      <c r="J127" s="1" t="s">
        <v>146</v>
      </c>
      <c r="K127" s="1" t="s">
        <v>118</v>
      </c>
      <c r="L127" s="1" t="s">
        <v>119</v>
      </c>
      <c r="M127" s="1" t="s">
        <v>120</v>
      </c>
    </row>
    <row r="129" spans="1:13">
      <c r="B129">
        <v>50</v>
      </c>
      <c r="C129">
        <v>4.292885551027277E-2</v>
      </c>
      <c r="D129">
        <v>2159.5135999999998</v>
      </c>
      <c r="E129">
        <f>(C129*(D129-$C$117))/($F$112*($C$123-$C$121))</f>
        <v>0.21947251318702038</v>
      </c>
      <c r="F129">
        <v>1916.161135758651</v>
      </c>
      <c r="G129">
        <f xml:space="preserve"> $F$111 * LN($C$114/F129)</f>
        <v>-1.0230906073142001</v>
      </c>
      <c r="H129">
        <f>($C$125*C129*(G129))+($C$125*E129*($F$124))</f>
        <v>37.446618227340416</v>
      </c>
      <c r="I129">
        <v>37.446618227340416</v>
      </c>
      <c r="J129">
        <f>F129-$C$114</f>
        <v>1143.161135758651</v>
      </c>
      <c r="K129">
        <f>C129*$F$111*(F129-$C$114)</f>
        <v>55.307073323129138</v>
      </c>
      <c r="L129">
        <f>K129*14*3600</f>
        <v>2787476.4954857086</v>
      </c>
      <c r="M129">
        <f>L129/($F$112*($C$123-$C$121))</f>
        <v>11061.414664625827</v>
      </c>
    </row>
    <row r="130" spans="1:13">
      <c r="B130">
        <v>60</v>
      </c>
      <c r="C130">
        <v>5.1872367074912933E-2</v>
      </c>
      <c r="D130">
        <v>1838.2121517241376</v>
      </c>
      <c r="E130">
        <f t="shared" ref="E130:E134" si="9">(C130*(D130-$C$117))/($F$112*($C$123-$C$121))</f>
        <v>0.19905838729675013</v>
      </c>
      <c r="F130">
        <v>1631.0666829850377</v>
      </c>
      <c r="G130">
        <f t="shared" ref="G130:G134" si="10" xml:space="preserve"> $F$111 * LN($C$114/F130)</f>
        <v>-0.84154266353804108</v>
      </c>
      <c r="H130">
        <f t="shared" ref="H130:H134" si="11">($C$125*C130*(G130))+($C$125*E130*($F$124))</f>
        <v>32.844892737050216</v>
      </c>
      <c r="I130">
        <v>32.844892737050216</v>
      </c>
      <c r="J130">
        <f t="shared" ref="J130:J134" si="12">F130-$C$114</f>
        <v>858.06668298503769</v>
      </c>
      <c r="K130">
        <f t="shared" ref="K130:K134" si="13">C130*$F$111*(F130-$C$114)</f>
        <v>50.162713598781032</v>
      </c>
      <c r="L130">
        <f t="shared" ref="L130:L134" si="14">K130*14*3600</f>
        <v>2528200.7653785641</v>
      </c>
      <c r="M130">
        <f t="shared" ref="M130:M134" si="15">L130/($F$112*($C$123-$C$121))</f>
        <v>10032.542719756208</v>
      </c>
    </row>
    <row r="131" spans="1:13">
      <c r="B131" s="1">
        <v>70</v>
      </c>
      <c r="C131" s="1">
        <v>6.0815878639553095E-2</v>
      </c>
      <c r="D131" s="1">
        <v>1611.4111294117647</v>
      </c>
      <c r="E131" s="1">
        <f t="shared" si="9"/>
        <v>0.17864426140647999</v>
      </c>
      <c r="F131" s="1">
        <v>1429.8235398507229</v>
      </c>
      <c r="G131" s="1">
        <f t="shared" si="10"/>
        <v>-0.69313573142650131</v>
      </c>
      <c r="H131" s="1">
        <f t="shared" si="11"/>
        <v>28.604100036880958</v>
      </c>
      <c r="I131" s="1">
        <v>28.604100036880958</v>
      </c>
      <c r="J131" s="1">
        <f t="shared" si="12"/>
        <v>656.82353985072291</v>
      </c>
      <c r="K131" s="1">
        <f t="shared" si="13"/>
        <v>45.018353874432961</v>
      </c>
      <c r="L131" s="1">
        <f>K131*14*3600</f>
        <v>2268925.0352714215</v>
      </c>
      <c r="M131" s="1">
        <f t="shared" si="15"/>
        <v>9003.6707748865938</v>
      </c>
    </row>
    <row r="132" spans="1:13">
      <c r="B132">
        <v>80</v>
      </c>
      <c r="C132">
        <v>6.9759390204193264E-2</v>
      </c>
      <c r="D132">
        <v>1442.764215384615</v>
      </c>
      <c r="E132">
        <f t="shared" si="9"/>
        <v>0.15823013551620968</v>
      </c>
      <c r="F132">
        <v>1280.181202648283</v>
      </c>
      <c r="G132">
        <f t="shared" si="10"/>
        <v>-0.56854655146113242</v>
      </c>
      <c r="H132">
        <f t="shared" si="11"/>
        <v>24.6542699206233</v>
      </c>
      <c r="I132">
        <v>24.6542699206233</v>
      </c>
      <c r="J132">
        <f t="shared" si="12"/>
        <v>507.18120264828303</v>
      </c>
      <c r="K132">
        <f t="shared" si="13"/>
        <v>39.87399415008484</v>
      </c>
      <c r="L132">
        <f t="shared" si="14"/>
        <v>2009649.3051642759</v>
      </c>
      <c r="M132">
        <f t="shared" si="15"/>
        <v>7974.7988300169682</v>
      </c>
    </row>
    <row r="133" spans="1:13">
      <c r="B133">
        <v>90</v>
      </c>
      <c r="C133">
        <v>7.8702901768833405E-2</v>
      </c>
      <c r="D133">
        <v>1312.4461454545453</v>
      </c>
      <c r="E133">
        <f t="shared" si="9"/>
        <v>0.13781600962593948</v>
      </c>
      <c r="F133">
        <v>1164.5484875373072</v>
      </c>
      <c r="G133">
        <f t="shared" si="10"/>
        <v>-0.46185550704316791</v>
      </c>
      <c r="H133">
        <f t="shared" si="11"/>
        <v>20.944668845946396</v>
      </c>
      <c r="I133">
        <v>20.944668845946403</v>
      </c>
      <c r="J133">
        <f t="shared" si="12"/>
        <v>391.54848753730721</v>
      </c>
      <c r="K133">
        <f t="shared" si="13"/>
        <v>34.729634425736748</v>
      </c>
      <c r="L133">
        <f t="shared" si="14"/>
        <v>1750373.5750571322</v>
      </c>
      <c r="M133">
        <f t="shared" si="15"/>
        <v>6945.9268851473498</v>
      </c>
    </row>
    <row r="134" spans="1:13">
      <c r="B134">
        <v>100</v>
      </c>
      <c r="C134">
        <v>8.7646413333473575E-2</v>
      </c>
      <c r="D134">
        <v>1208.7235999999998</v>
      </c>
      <c r="E134">
        <f t="shared" si="9"/>
        <v>0.11740188373566926</v>
      </c>
      <c r="F134">
        <v>1072.5142857142855</v>
      </c>
      <c r="G134">
        <f t="shared" si="10"/>
        <v>-0.36907212625105795</v>
      </c>
      <c r="H134">
        <f t="shared" si="11"/>
        <v>17.437070276218723</v>
      </c>
      <c r="I134">
        <v>17.437070276218723</v>
      </c>
      <c r="J134">
        <f t="shared" si="12"/>
        <v>299.51428571428551</v>
      </c>
      <c r="K134">
        <f t="shared" si="13"/>
        <v>29.585274701388652</v>
      </c>
      <c r="L134">
        <f t="shared" si="14"/>
        <v>1491097.8449499882</v>
      </c>
      <c r="M134">
        <f t="shared" si="15"/>
        <v>5917.0549402777306</v>
      </c>
    </row>
    <row r="137" spans="1:13">
      <c r="A137" s="7" t="s">
        <v>147</v>
      </c>
      <c r="B137" s="7"/>
      <c r="C137" s="7"/>
    </row>
    <row r="138" spans="1:13">
      <c r="A138" s="7"/>
      <c r="B138" s="7"/>
      <c r="C138" s="7"/>
    </row>
    <row r="139" spans="1:13">
      <c r="A139" s="7"/>
      <c r="B139" s="7"/>
      <c r="C139" s="7"/>
    </row>
    <row r="158" spans="1:3">
      <c r="A158" s="7" t="s">
        <v>117</v>
      </c>
      <c r="B158" s="7"/>
      <c r="C158" s="7"/>
    </row>
    <row r="159" spans="1:3">
      <c r="A159" s="7"/>
      <c r="B159" s="7"/>
      <c r="C159" s="7"/>
    </row>
    <row r="160" spans="1:3">
      <c r="A160" s="7"/>
      <c r="B160" s="7"/>
      <c r="C160" s="7"/>
    </row>
    <row r="162" spans="2:6">
      <c r="B162" t="s">
        <v>74</v>
      </c>
      <c r="C162">
        <v>773</v>
      </c>
      <c r="E162" t="s">
        <v>80</v>
      </c>
      <c r="F162">
        <v>259.76819349035247</v>
      </c>
    </row>
    <row r="163" spans="2:6">
      <c r="B163" t="s">
        <v>75</v>
      </c>
      <c r="C163">
        <v>50</v>
      </c>
    </row>
    <row r="164" spans="2:6">
      <c r="B164" t="s">
        <v>76</v>
      </c>
      <c r="C164">
        <v>1.1000000000000001</v>
      </c>
      <c r="E164" t="s">
        <v>82</v>
      </c>
      <c r="F164">
        <v>336.7529644667996</v>
      </c>
    </row>
    <row r="165" spans="2:6">
      <c r="B165" t="s">
        <v>77</v>
      </c>
      <c r="C165">
        <v>1.4</v>
      </c>
    </row>
    <row r="166" spans="2:6">
      <c r="E166" s="1" t="s">
        <v>89</v>
      </c>
      <c r="F166" s="1">
        <v>1.127</v>
      </c>
    </row>
    <row r="167" spans="2:6">
      <c r="B167" t="s">
        <v>79</v>
      </c>
      <c r="C167">
        <f>(C165-1)/C165</f>
        <v>0.28571428571428564</v>
      </c>
    </row>
    <row r="169" spans="2:6">
      <c r="B169" s="1" t="s">
        <v>92</v>
      </c>
      <c r="C169" s="1" t="s">
        <v>106</v>
      </c>
      <c r="D169" s="1" t="s">
        <v>121</v>
      </c>
      <c r="E169" s="1" t="s">
        <v>122</v>
      </c>
      <c r="F169" s="1" t="s">
        <v>47</v>
      </c>
    </row>
    <row r="171" spans="2:6">
      <c r="B171">
        <v>50</v>
      </c>
      <c r="C171">
        <v>0.1502509942859547</v>
      </c>
      <c r="D171">
        <f>C171*$F$166*($C$162-$F$164)</f>
        <v>73.870962800245337</v>
      </c>
      <c r="E171">
        <f>C171*$F$166*($C$162-$F$162)</f>
        <v>86.907015059112169</v>
      </c>
      <c r="F171">
        <f>E171-D171</f>
        <v>13.036052258866832</v>
      </c>
    </row>
    <row r="172" spans="2:6">
      <c r="B172">
        <v>60</v>
      </c>
      <c r="C172">
        <v>0.18155328476219526</v>
      </c>
      <c r="D172">
        <f t="shared" ref="D172:D176" si="16">C172*$F$166*($C$162-$F$164)</f>
        <v>89.260746716963126</v>
      </c>
      <c r="E172">
        <f t="shared" ref="E172:E176" si="17">C172*$F$166*($C$162-$F$162)</f>
        <v>105.01264319642721</v>
      </c>
      <c r="F172">
        <f t="shared" ref="F172:F176" si="18">E172-D172</f>
        <v>15.751896479464079</v>
      </c>
    </row>
    <row r="173" spans="2:6">
      <c r="B173" s="1">
        <v>70</v>
      </c>
      <c r="C173" s="1">
        <v>0.21285557523843582</v>
      </c>
      <c r="D173" s="1">
        <f t="shared" si="16"/>
        <v>104.6505306336809</v>
      </c>
      <c r="E173" s="1">
        <f t="shared" si="17"/>
        <v>123.11827133374223</v>
      </c>
      <c r="F173" s="1">
        <f t="shared" si="18"/>
        <v>18.467740700061327</v>
      </c>
    </row>
    <row r="174" spans="2:6">
      <c r="B174">
        <v>80</v>
      </c>
      <c r="C174">
        <v>0.2441578657146764</v>
      </c>
      <c r="D174">
        <f t="shared" si="16"/>
        <v>120.0403145503987</v>
      </c>
      <c r="E174">
        <f t="shared" si="17"/>
        <v>141.22389947105728</v>
      </c>
      <c r="F174">
        <f t="shared" si="18"/>
        <v>21.183584920658575</v>
      </c>
    </row>
    <row r="175" spans="2:6">
      <c r="B175">
        <v>90</v>
      </c>
      <c r="C175">
        <v>0.27546015619091696</v>
      </c>
      <c r="D175">
        <f t="shared" si="16"/>
        <v>135.43009846711647</v>
      </c>
      <c r="E175">
        <f t="shared" si="17"/>
        <v>159.32952760837233</v>
      </c>
      <c r="F175">
        <f t="shared" si="18"/>
        <v>23.899429141255865</v>
      </c>
    </row>
    <row r="176" spans="2:6">
      <c r="B176">
        <v>100</v>
      </c>
      <c r="C176">
        <v>0.30676244666715752</v>
      </c>
      <c r="D176">
        <f t="shared" si="16"/>
        <v>150.81988238383425</v>
      </c>
      <c r="E176">
        <f t="shared" si="17"/>
        <v>177.43515574568735</v>
      </c>
      <c r="F176">
        <f t="shared" si="18"/>
        <v>26.615273361853099</v>
      </c>
    </row>
    <row r="178" spans="2:4">
      <c r="B178" s="7" t="s">
        <v>149</v>
      </c>
      <c r="C178" s="7"/>
      <c r="D178" s="7"/>
    </row>
    <row r="179" spans="2:4">
      <c r="B179" s="7"/>
      <c r="C179" s="7"/>
      <c r="D179" s="7"/>
    </row>
    <row r="180" spans="2:4">
      <c r="B180" s="7"/>
      <c r="C180" s="7"/>
      <c r="D180" s="7"/>
    </row>
    <row r="197" spans="2:4">
      <c r="B197" s="7" t="s">
        <v>124</v>
      </c>
      <c r="C197" s="7"/>
    </row>
    <row r="198" spans="2:4">
      <c r="B198" s="7"/>
      <c r="C198" s="7"/>
    </row>
    <row r="200" spans="2:4">
      <c r="C200" t="s">
        <v>125</v>
      </c>
    </row>
    <row r="202" spans="2:4">
      <c r="C202" t="s">
        <v>126</v>
      </c>
    </row>
    <row r="203" spans="2:4">
      <c r="C203" t="s">
        <v>127</v>
      </c>
      <c r="D203">
        <f xml:space="preserve"> 80 * 3600 * 14</f>
        <v>4032000</v>
      </c>
    </row>
    <row r="211" spans="2:7">
      <c r="B211" s="1" t="s">
        <v>92</v>
      </c>
      <c r="C211" s="1" t="s">
        <v>119</v>
      </c>
      <c r="D211" s="1" t="s">
        <v>128</v>
      </c>
      <c r="E211" s="1" t="s">
        <v>129</v>
      </c>
      <c r="F211" s="1" t="s">
        <v>130</v>
      </c>
    </row>
    <row r="213" spans="2:7">
      <c r="B213">
        <v>50</v>
      </c>
      <c r="C213">
        <v>2787476.4954857086</v>
      </c>
      <c r="D213">
        <v>73.870962800245337</v>
      </c>
      <c r="E213">
        <f>D213*3600*4</f>
        <v>1063741.8643235329</v>
      </c>
      <c r="F213">
        <f>(C213+E213)/$D$203</f>
        <v>0.95516328368284753</v>
      </c>
    </row>
    <row r="214" spans="2:7">
      <c r="B214">
        <v>60</v>
      </c>
      <c r="C214">
        <v>2528200.7653785641</v>
      </c>
      <c r="D214">
        <v>89.260746716963126</v>
      </c>
      <c r="E214">
        <f t="shared" ref="E214:E218" si="19">D214*3600*4</f>
        <v>1285354.7527242689</v>
      </c>
      <c r="F214">
        <f t="shared" ref="F214:F218" si="20">(C214+E214)/$D$203</f>
        <v>0.94582230111677412</v>
      </c>
    </row>
    <row r="215" spans="2:7">
      <c r="B215" s="3">
        <v>70</v>
      </c>
      <c r="C215">
        <v>2268925.0352714215</v>
      </c>
      <c r="D215">
        <v>104.6505306336809</v>
      </c>
      <c r="E215">
        <f t="shared" si="19"/>
        <v>1506967.641125005</v>
      </c>
      <c r="F215">
        <f t="shared" si="20"/>
        <v>0.93648131855070105</v>
      </c>
    </row>
    <row r="216" spans="2:7">
      <c r="B216">
        <v>80</v>
      </c>
      <c r="C216">
        <v>2009649.3051642759</v>
      </c>
      <c r="D216">
        <v>120.0403145503987</v>
      </c>
      <c r="E216">
        <f t="shared" si="19"/>
        <v>1728580.5295257412</v>
      </c>
      <c r="F216">
        <f t="shared" si="20"/>
        <v>0.92714033598462731</v>
      </c>
    </row>
    <row r="217" spans="2:7">
      <c r="B217">
        <v>90</v>
      </c>
      <c r="C217">
        <v>1750373.5750571324</v>
      </c>
      <c r="D217">
        <v>135.43009846711647</v>
      </c>
      <c r="E217">
        <f t="shared" si="19"/>
        <v>1950193.417926477</v>
      </c>
      <c r="F217">
        <f t="shared" si="20"/>
        <v>0.9177993534185539</v>
      </c>
    </row>
    <row r="218" spans="2:7">
      <c r="B218">
        <v>100</v>
      </c>
      <c r="C218">
        <v>1491097.8449499882</v>
      </c>
      <c r="D218">
        <v>150.81988238383425</v>
      </c>
      <c r="E218">
        <f t="shared" si="19"/>
        <v>2171806.3063272131</v>
      </c>
      <c r="F218">
        <f t="shared" si="20"/>
        <v>0.90845837085248049</v>
      </c>
    </row>
    <row r="220" spans="2:7">
      <c r="B220" s="8" t="s">
        <v>194</v>
      </c>
      <c r="C220" s="8"/>
      <c r="D220" s="8"/>
      <c r="E220" s="8"/>
      <c r="F220" s="8"/>
      <c r="G220" s="8"/>
    </row>
    <row r="221" spans="2:7">
      <c r="B221" s="8"/>
      <c r="C221" s="8"/>
      <c r="D221" s="8"/>
      <c r="E221" s="8"/>
      <c r="F221" s="8"/>
      <c r="G221" s="8"/>
    </row>
  </sheetData>
  <mergeCells count="14">
    <mergeCell ref="A54:C56"/>
    <mergeCell ref="A1:G3"/>
    <mergeCell ref="A8:B9"/>
    <mergeCell ref="D8:P9"/>
    <mergeCell ref="F13:I14"/>
    <mergeCell ref="A51:J52"/>
    <mergeCell ref="B197:C198"/>
    <mergeCell ref="B220:G221"/>
    <mergeCell ref="A68:C70"/>
    <mergeCell ref="C95:D96"/>
    <mergeCell ref="A105:C107"/>
    <mergeCell ref="A137:C139"/>
    <mergeCell ref="A158:C160"/>
    <mergeCell ref="B178:D18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9"/>
  <sheetViews>
    <sheetView zoomScale="70" zoomScaleNormal="70" workbookViewId="0">
      <selection activeCell="D264" sqref="D264"/>
    </sheetView>
  </sheetViews>
  <sheetFormatPr defaultRowHeight="14.4"/>
  <cols>
    <col min="2" max="2" width="20.21875" customWidth="1"/>
    <col min="3" max="3" width="44.77734375" customWidth="1"/>
    <col min="4" max="4" width="34.21875" customWidth="1"/>
    <col min="5" max="5" width="26.5546875" customWidth="1"/>
    <col min="6" max="6" width="28.88671875" customWidth="1"/>
    <col min="7" max="7" width="20.77734375" customWidth="1"/>
    <col min="8" max="8" width="24" customWidth="1"/>
    <col min="9" max="9" width="18.6640625" customWidth="1"/>
    <col min="10" max="10" width="26.88671875" customWidth="1"/>
    <col min="11" max="11" width="23.5546875" customWidth="1"/>
    <col min="12" max="12" width="16.88671875" customWidth="1"/>
    <col min="13" max="13" width="16.21875" customWidth="1"/>
  </cols>
  <sheetData>
    <row r="1" spans="1:11">
      <c r="A1" s="7" t="s">
        <v>131</v>
      </c>
      <c r="B1" s="7"/>
      <c r="C1" s="7"/>
      <c r="D1" s="7"/>
      <c r="E1" s="7"/>
      <c r="F1" s="7"/>
      <c r="G1" s="7"/>
    </row>
    <row r="2" spans="1:11">
      <c r="A2" s="7"/>
      <c r="B2" s="7"/>
      <c r="C2" s="7"/>
      <c r="D2" s="7"/>
      <c r="E2" s="7"/>
      <c r="F2" s="7"/>
      <c r="G2" s="7"/>
    </row>
    <row r="3" spans="1:11">
      <c r="A3" s="7"/>
      <c r="B3" s="7"/>
      <c r="C3" s="7"/>
      <c r="D3" s="7"/>
      <c r="E3" s="7"/>
      <c r="F3" s="7"/>
      <c r="G3" s="7"/>
    </row>
    <row r="5" spans="1:11">
      <c r="B5" s="7" t="s">
        <v>123</v>
      </c>
      <c r="C5" s="7"/>
      <c r="D5" s="7"/>
      <c r="E5" s="7"/>
      <c r="F5" s="7"/>
      <c r="G5" s="7"/>
      <c r="H5" s="7"/>
      <c r="I5" s="7"/>
      <c r="J5" s="7"/>
      <c r="K5" s="7"/>
    </row>
    <row r="6" spans="1:11">
      <c r="B6" s="7"/>
      <c r="C6" s="7"/>
      <c r="D6" s="7"/>
      <c r="E6" s="7"/>
      <c r="F6" s="7"/>
      <c r="G6" s="7"/>
      <c r="H6" s="7"/>
      <c r="I6" s="7"/>
      <c r="J6" s="7"/>
      <c r="K6" s="7"/>
    </row>
    <row r="8" spans="1:11">
      <c r="A8" s="4"/>
      <c r="B8" s="4"/>
      <c r="C8" s="4"/>
      <c r="E8" s="8" t="s">
        <v>132</v>
      </c>
      <c r="F8" s="8"/>
      <c r="G8" s="8"/>
      <c r="H8" s="8"/>
      <c r="I8" s="8"/>
      <c r="J8" s="8"/>
      <c r="K8" s="8"/>
    </row>
    <row r="9" spans="1:11">
      <c r="A9" s="4"/>
      <c r="B9" s="4"/>
      <c r="C9" s="4"/>
      <c r="E9" s="8"/>
      <c r="F9" s="8"/>
      <c r="G9" s="8"/>
      <c r="H9" s="8"/>
      <c r="I9" s="8"/>
      <c r="J9" s="8"/>
      <c r="K9" s="8"/>
    </row>
    <row r="10" spans="1:11">
      <c r="A10" s="4"/>
      <c r="B10" s="4"/>
      <c r="C10" s="4"/>
      <c r="E10" s="8"/>
      <c r="F10" s="8"/>
      <c r="G10" s="8"/>
      <c r="H10" s="8"/>
      <c r="I10" s="8"/>
      <c r="J10" s="8"/>
      <c r="K10" s="8"/>
    </row>
    <row r="12" spans="1:11">
      <c r="G12" s="8" t="s">
        <v>7</v>
      </c>
      <c r="H12" s="8"/>
      <c r="I12" s="8"/>
      <c r="J12" s="8"/>
    </row>
    <row r="13" spans="1:11">
      <c r="B13" t="s">
        <v>92</v>
      </c>
      <c r="C13">
        <v>50</v>
      </c>
      <c r="E13" s="1" t="s">
        <v>98</v>
      </c>
      <c r="F13" s="1">
        <v>295.96519999999998</v>
      </c>
      <c r="G13" s="8"/>
      <c r="H13" s="8"/>
      <c r="I13" s="8"/>
      <c r="J13" s="8"/>
    </row>
    <row r="14" spans="1:11">
      <c r="B14" t="s">
        <v>133</v>
      </c>
      <c r="C14">
        <v>100</v>
      </c>
      <c r="E14" s="1" t="s">
        <v>97</v>
      </c>
      <c r="F14" s="1">
        <v>80</v>
      </c>
    </row>
    <row r="15" spans="1:11">
      <c r="B15" t="s">
        <v>6</v>
      </c>
      <c r="C15">
        <v>0.28699999999999998</v>
      </c>
      <c r="E15" s="1" t="s">
        <v>101</v>
      </c>
      <c r="F15" s="1">
        <v>293</v>
      </c>
    </row>
    <row r="16" spans="1:11">
      <c r="B16" s="1" t="s">
        <v>8</v>
      </c>
      <c r="C16" s="1">
        <v>773</v>
      </c>
      <c r="E16" s="1" t="s">
        <v>19</v>
      </c>
      <c r="F16" s="1">
        <v>294.2</v>
      </c>
    </row>
    <row r="17" spans="2:9">
      <c r="B17" s="1" t="s">
        <v>11</v>
      </c>
      <c r="C17" s="1">
        <v>4</v>
      </c>
      <c r="E17" s="1" t="s">
        <v>102</v>
      </c>
      <c r="F17" s="1">
        <v>1</v>
      </c>
    </row>
    <row r="18" spans="2:9">
      <c r="B18" s="3" t="s">
        <v>12</v>
      </c>
      <c r="C18" s="3">
        <f>4*3600</f>
        <v>14400</v>
      </c>
      <c r="E18" s="1" t="s">
        <v>89</v>
      </c>
      <c r="F18" s="1">
        <v>1.127</v>
      </c>
    </row>
    <row r="19" spans="2:9">
      <c r="B19" s="1" t="s">
        <v>13</v>
      </c>
      <c r="C19" s="1">
        <v>14</v>
      </c>
    </row>
    <row r="20" spans="2:9">
      <c r="B20" t="s">
        <v>14</v>
      </c>
      <c r="C20">
        <f>14*3600</f>
        <v>50400</v>
      </c>
      <c r="H20" t="s">
        <v>136</v>
      </c>
      <c r="I20">
        <f>(C13*100*C14)/(C15*C16)</f>
        <v>2253.7649142893206</v>
      </c>
    </row>
    <row r="23" spans="2:9">
      <c r="B23" t="s">
        <v>134</v>
      </c>
      <c r="C23" t="s">
        <v>135</v>
      </c>
      <c r="D23" t="s">
        <v>137</v>
      </c>
      <c r="E23" t="s">
        <v>138</v>
      </c>
    </row>
    <row r="25" spans="2:9">
      <c r="B25">
        <v>2</v>
      </c>
      <c r="C25">
        <f>(B25*100*$C$14)/($C$15*$C$16)</f>
        <v>90.150596571572819</v>
      </c>
      <c r="D25">
        <f>($I$20-C25)/$C$20</f>
        <v>4.292885551027277E-2</v>
      </c>
      <c r="E25">
        <f>($I$20-C25)/$C$18</f>
        <v>0.1502509942859547</v>
      </c>
    </row>
    <row r="26" spans="2:9">
      <c r="B26">
        <v>3</v>
      </c>
      <c r="C26">
        <f t="shared" ref="C26:C33" si="0">(B26*100*$C$14)/($C$15*$C$16)</f>
        <v>135.22589485735924</v>
      </c>
      <c r="D26">
        <f t="shared" ref="D26:D33" si="1">($I$20-C26)/$C$20</f>
        <v>4.2034504353808753E-2</v>
      </c>
      <c r="E26">
        <f t="shared" ref="E26:E33" si="2">($I$20-C26)/$C$18</f>
        <v>0.14712076523833065</v>
      </c>
    </row>
    <row r="27" spans="2:9">
      <c r="B27">
        <v>4</v>
      </c>
      <c r="C27">
        <f t="shared" si="0"/>
        <v>180.30119314314564</v>
      </c>
      <c r="D27">
        <f t="shared" si="1"/>
        <v>4.1140153197344743E-2</v>
      </c>
      <c r="E27">
        <f t="shared" si="2"/>
        <v>0.14399053619070659</v>
      </c>
    </row>
    <row r="28" spans="2:9">
      <c r="B28">
        <v>5</v>
      </c>
      <c r="C28">
        <f t="shared" si="0"/>
        <v>225.37649142893207</v>
      </c>
      <c r="D28">
        <f t="shared" si="1"/>
        <v>4.0245802040880727E-2</v>
      </c>
      <c r="E28">
        <f t="shared" si="2"/>
        <v>0.14086030714308254</v>
      </c>
    </row>
    <row r="29" spans="2:9">
      <c r="B29">
        <v>6</v>
      </c>
      <c r="C29">
        <f t="shared" si="0"/>
        <v>270.45178971471847</v>
      </c>
      <c r="D29">
        <f t="shared" si="1"/>
        <v>3.935145088441671E-2</v>
      </c>
      <c r="E29">
        <f t="shared" si="2"/>
        <v>0.13773007809545848</v>
      </c>
    </row>
    <row r="30" spans="2:9">
      <c r="B30">
        <v>7</v>
      </c>
      <c r="C30">
        <f t="shared" si="0"/>
        <v>315.52708800050488</v>
      </c>
      <c r="D30">
        <f t="shared" si="1"/>
        <v>3.8457099727952693E-2</v>
      </c>
      <c r="E30">
        <f t="shared" si="2"/>
        <v>0.13459984904783442</v>
      </c>
    </row>
    <row r="31" spans="2:9">
      <c r="B31">
        <v>8</v>
      </c>
      <c r="C31">
        <f t="shared" si="0"/>
        <v>360.60238628629128</v>
      </c>
      <c r="D31">
        <f t="shared" si="1"/>
        <v>3.7562748571488676E-2</v>
      </c>
      <c r="E31">
        <f t="shared" si="2"/>
        <v>0.13146962000021037</v>
      </c>
    </row>
    <row r="32" spans="2:9">
      <c r="B32">
        <v>9</v>
      </c>
      <c r="C32">
        <f t="shared" si="0"/>
        <v>405.67768457207774</v>
      </c>
      <c r="D32">
        <f t="shared" si="1"/>
        <v>3.6668397415024659E-2</v>
      </c>
      <c r="E32">
        <f t="shared" si="2"/>
        <v>0.12833939095258631</v>
      </c>
    </row>
    <row r="33" spans="1:10">
      <c r="B33">
        <v>10</v>
      </c>
      <c r="C33">
        <f t="shared" si="0"/>
        <v>450.75298285786414</v>
      </c>
      <c r="D33">
        <f t="shared" si="1"/>
        <v>3.5774046258560649E-2</v>
      </c>
      <c r="E33">
        <f t="shared" si="2"/>
        <v>0.12520916190496226</v>
      </c>
    </row>
    <row r="36" spans="1:10">
      <c r="A36" s="7" t="s">
        <v>107</v>
      </c>
      <c r="B36" s="7"/>
      <c r="C36" s="7"/>
    </row>
    <row r="37" spans="1:10">
      <c r="A37" s="7"/>
      <c r="B37" s="7"/>
      <c r="C37" s="7"/>
    </row>
    <row r="39" spans="1:10">
      <c r="B39" s="1" t="s">
        <v>134</v>
      </c>
      <c r="C39" s="1" t="s">
        <v>135</v>
      </c>
      <c r="D39" s="1" t="s">
        <v>137</v>
      </c>
      <c r="E39" s="1" t="s">
        <v>138</v>
      </c>
      <c r="F39" s="1" t="s">
        <v>99</v>
      </c>
      <c r="G39" s="1" t="s">
        <v>100</v>
      </c>
      <c r="H39" s="1" t="s">
        <v>104</v>
      </c>
      <c r="I39" s="1" t="s">
        <v>103</v>
      </c>
      <c r="J39" s="1" t="s">
        <v>47</v>
      </c>
    </row>
    <row r="41" spans="1:10">
      <c r="B41">
        <v>2</v>
      </c>
      <c r="C41">
        <f>(B41*100*$C$14)/($C$15*$C$16)</f>
        <v>90.150596571572819</v>
      </c>
      <c r="D41">
        <f>($I$20-C41)/$C$20</f>
        <v>4.292885551027277E-2</v>
      </c>
      <c r="E41">
        <f>($I$20-C41)/$C$18</f>
        <v>0.1502509942859547</v>
      </c>
      <c r="F41">
        <f>($F$14/D41)+$F$13</f>
        <v>2159.5135999999998</v>
      </c>
      <c r="G41">
        <f>F41/$F$18</f>
        <v>1916.161135758651</v>
      </c>
      <c r="H41">
        <f>- (($F$18*LN(G41/$F$16)) - ($C$15*LN($C$13/$F$17)))</f>
        <v>-0.98904368870975778</v>
      </c>
      <c r="I41">
        <f xml:space="preserve"> (D41*($F$13-F41) )- ($F$15*D41*(H41))</f>
        <v>-67.559655513451247</v>
      </c>
      <c r="J41">
        <f>80+I41</f>
        <v>12.440344486548753</v>
      </c>
    </row>
    <row r="42" spans="1:10">
      <c r="B42">
        <v>3</v>
      </c>
      <c r="C42">
        <f t="shared" ref="C42:C49" si="3">(B42*100*$C$14)/($C$15*$C$16)</f>
        <v>135.22589485735924</v>
      </c>
      <c r="D42">
        <f t="shared" ref="D42:D49" si="4">($I$20-C42)/$C$20</f>
        <v>4.2034504353808753E-2</v>
      </c>
      <c r="E42">
        <f t="shared" ref="E42:E49" si="5">($I$20-C42)/$C$18</f>
        <v>0.14712076523833065</v>
      </c>
      <c r="F42">
        <f t="shared" ref="F42:F49" si="6">($F$14/D42)+$F$13</f>
        <v>2199.1635659574467</v>
      </c>
      <c r="G42">
        <f t="shared" ref="G42:G49" si="7">F42/$F$18</f>
        <v>1951.3430043987992</v>
      </c>
      <c r="H42">
        <f t="shared" ref="H42:H49" si="8">- (($F$18*LN(G42/$F$16)) - ($C$15*LN($C$13/$F$17)))</f>
        <v>-1.0095484164482467</v>
      </c>
      <c r="I42">
        <f t="shared" ref="I42:I49" si="9" xml:space="preserve"> (D42*($F$13-F42) )- ($F$15*D42*(H42))</f>
        <v>-67.56629087917365</v>
      </c>
      <c r="J42">
        <f t="shared" ref="J42:J48" si="10">80+I42</f>
        <v>12.43370912082635</v>
      </c>
    </row>
    <row r="43" spans="1:10">
      <c r="B43">
        <v>4</v>
      </c>
      <c r="C43">
        <f t="shared" si="3"/>
        <v>180.30119314314564</v>
      </c>
      <c r="D43">
        <f t="shared" si="4"/>
        <v>4.1140153197344743E-2</v>
      </c>
      <c r="E43">
        <f t="shared" si="5"/>
        <v>0.14399053619070659</v>
      </c>
      <c r="F43">
        <f t="shared" si="6"/>
        <v>2240.5374434782607</v>
      </c>
      <c r="G43">
        <f t="shared" si="7"/>
        <v>1988.0545195015623</v>
      </c>
      <c r="H43">
        <f t="shared" si="8"/>
        <v>-1.0305542047889782</v>
      </c>
      <c r="I43">
        <f t="shared" si="9"/>
        <v>-67.577632746086394</v>
      </c>
      <c r="J43">
        <f t="shared" si="10"/>
        <v>12.422367253913606</v>
      </c>
    </row>
    <row r="44" spans="1:10">
      <c r="B44">
        <v>5</v>
      </c>
      <c r="C44">
        <f t="shared" si="3"/>
        <v>225.37649142893207</v>
      </c>
      <c r="D44">
        <f t="shared" si="4"/>
        <v>4.0245802040880727E-2</v>
      </c>
      <c r="E44">
        <f t="shared" si="5"/>
        <v>0.14086030714308254</v>
      </c>
      <c r="F44">
        <f t="shared" si="6"/>
        <v>2283.7501599999996</v>
      </c>
      <c r="G44">
        <f t="shared" si="7"/>
        <v>2026.3976574977814</v>
      </c>
      <c r="H44">
        <f t="shared" si="8"/>
        <v>-1.0520834340545533</v>
      </c>
      <c r="I44">
        <f t="shared" si="9"/>
        <v>-67.593811106087287</v>
      </c>
      <c r="J44">
        <f t="shared" si="10"/>
        <v>12.406188893912713</v>
      </c>
    </row>
    <row r="45" spans="1:10">
      <c r="B45">
        <v>6</v>
      </c>
      <c r="C45">
        <f t="shared" si="3"/>
        <v>270.45178971471847</v>
      </c>
      <c r="D45">
        <f t="shared" si="4"/>
        <v>3.935145088441671E-2</v>
      </c>
      <c r="E45">
        <f t="shared" si="5"/>
        <v>0.13773007809545848</v>
      </c>
      <c r="F45">
        <f t="shared" si="6"/>
        <v>2328.9270909090906</v>
      </c>
      <c r="G45">
        <f t="shared" si="7"/>
        <v>2066.4836654029195</v>
      </c>
      <c r="H45">
        <f t="shared" si="8"/>
        <v>-1.0741599967229405</v>
      </c>
      <c r="I45">
        <f t="shared" si="9"/>
        <v>-67.614961974556934</v>
      </c>
      <c r="J45">
        <f t="shared" si="10"/>
        <v>12.385038025443066</v>
      </c>
    </row>
    <row r="46" spans="1:10">
      <c r="B46">
        <v>7</v>
      </c>
      <c r="C46">
        <f t="shared" si="3"/>
        <v>315.52708800050488</v>
      </c>
      <c r="D46">
        <f t="shared" si="4"/>
        <v>3.8457099727952693E-2</v>
      </c>
      <c r="E46">
        <f t="shared" si="5"/>
        <v>0.13459984904783442</v>
      </c>
      <c r="F46">
        <f t="shared" si="6"/>
        <v>2376.2052744186044</v>
      </c>
      <c r="G46">
        <f t="shared" si="7"/>
        <v>2108.4341387920181</v>
      </c>
      <c r="H46">
        <f t="shared" si="8"/>
        <v>-1.0968094365425252</v>
      </c>
      <c r="I46">
        <f t="shared" si="9"/>
        <v>-67.641227804083087</v>
      </c>
      <c r="J46">
        <f t="shared" si="10"/>
        <v>12.358772195916913</v>
      </c>
    </row>
    <row r="47" spans="1:10">
      <c r="B47">
        <v>8</v>
      </c>
      <c r="C47">
        <f t="shared" si="3"/>
        <v>360.60238628629128</v>
      </c>
      <c r="D47">
        <f t="shared" si="4"/>
        <v>3.7562748571488676E-2</v>
      </c>
      <c r="E47">
        <f t="shared" si="5"/>
        <v>0.13146962000021037</v>
      </c>
      <c r="F47">
        <f t="shared" si="6"/>
        <v>2425.7347999999997</v>
      </c>
      <c r="G47">
        <f t="shared" si="7"/>
        <v>2152.3822537710735</v>
      </c>
      <c r="H47">
        <f t="shared" si="8"/>
        <v>-1.1200591040184622</v>
      </c>
      <c r="I47">
        <f t="shared" si="9"/>
        <v>-67.672757936730449</v>
      </c>
      <c r="J47">
        <f t="shared" si="10"/>
        <v>12.327242063269551</v>
      </c>
    </row>
    <row r="48" spans="1:10">
      <c r="B48">
        <v>9</v>
      </c>
      <c r="C48">
        <f t="shared" si="3"/>
        <v>405.67768457207774</v>
      </c>
      <c r="D48">
        <f t="shared" si="4"/>
        <v>3.6668397415024659E-2</v>
      </c>
      <c r="E48">
        <f t="shared" si="5"/>
        <v>0.12833939095258631</v>
      </c>
      <c r="F48">
        <f t="shared" si="6"/>
        <v>2477.6803999999997</v>
      </c>
      <c r="G48">
        <f t="shared" si="7"/>
        <v>2198.4741792369118</v>
      </c>
      <c r="H48">
        <f t="shared" si="8"/>
        <v>-1.1439383306380435</v>
      </c>
      <c r="I48">
        <f t="shared" si="9"/>
        <v>-67.709709099448105</v>
      </c>
      <c r="J48">
        <f t="shared" si="10"/>
        <v>12.290290900551895</v>
      </c>
    </row>
    <row r="49" spans="1:10">
      <c r="B49">
        <v>10</v>
      </c>
      <c r="C49">
        <f t="shared" si="3"/>
        <v>450.75298285786414</v>
      </c>
      <c r="D49">
        <f t="shared" si="4"/>
        <v>3.5774046258560649E-2</v>
      </c>
      <c r="E49">
        <f t="shared" si="5"/>
        <v>0.12520916190496226</v>
      </c>
      <c r="F49">
        <f t="shared" si="6"/>
        <v>2532.2232799999997</v>
      </c>
      <c r="G49">
        <f t="shared" si="7"/>
        <v>2246.8707009760424</v>
      </c>
      <c r="H49">
        <f t="shared" si="8"/>
        <v>-1.1684786246121437</v>
      </c>
      <c r="I49">
        <f t="shared" si="9"/>
        <v>-67.752245947878862</v>
      </c>
      <c r="J49">
        <f>80+I49</f>
        <v>12.247754052121138</v>
      </c>
    </row>
    <row r="52" spans="1:10">
      <c r="A52" s="7" t="s">
        <v>139</v>
      </c>
      <c r="B52" s="7"/>
      <c r="C52" s="7"/>
    </row>
    <row r="53" spans="1:10">
      <c r="A53" s="7"/>
      <c r="B53" s="7"/>
      <c r="C53" s="7"/>
    </row>
    <row r="54" spans="1:10">
      <c r="A54" s="7"/>
      <c r="B54" s="7"/>
      <c r="C54" s="7"/>
    </row>
    <row r="92" spans="1:13">
      <c r="A92" s="7" t="s">
        <v>109</v>
      </c>
      <c r="B92" s="7"/>
      <c r="C92" s="7"/>
    </row>
    <row r="93" spans="1:13">
      <c r="A93" s="7"/>
      <c r="B93" s="7"/>
      <c r="C93" s="7"/>
    </row>
    <row r="95" spans="1:13">
      <c r="B95" t="s">
        <v>54</v>
      </c>
      <c r="M95">
        <f ca="1">+M81:M86:N95</f>
        <v>0</v>
      </c>
    </row>
    <row r="96" spans="1:13">
      <c r="B96" t="s">
        <v>56</v>
      </c>
      <c r="C96">
        <v>50</v>
      </c>
      <c r="E96" t="s">
        <v>89</v>
      </c>
      <c r="F96">
        <v>1.127</v>
      </c>
    </row>
    <row r="97" spans="2:6">
      <c r="B97" t="s">
        <v>57</v>
      </c>
      <c r="C97">
        <v>1916.1611</v>
      </c>
      <c r="E97" t="s">
        <v>112</v>
      </c>
      <c r="F97">
        <v>4.2</v>
      </c>
    </row>
    <row r="98" spans="2:6">
      <c r="B98" t="s">
        <v>58</v>
      </c>
      <c r="C98">
        <v>50</v>
      </c>
    </row>
    <row r="99" spans="2:6">
      <c r="B99" t="s">
        <v>59</v>
      </c>
      <c r="C99">
        <v>773</v>
      </c>
      <c r="E99" s="1" t="s">
        <v>13</v>
      </c>
      <c r="F99" s="1">
        <v>14</v>
      </c>
    </row>
    <row r="100" spans="2:6">
      <c r="B100" t="s">
        <v>40</v>
      </c>
      <c r="C100">
        <v>4.2928856000000001E-2</v>
      </c>
      <c r="E100" t="s">
        <v>14</v>
      </c>
      <c r="F100">
        <f>14*3600</f>
        <v>50400</v>
      </c>
    </row>
    <row r="101" spans="2:6">
      <c r="B101" t="s">
        <v>41</v>
      </c>
      <c r="C101">
        <v>2159.5136000000002</v>
      </c>
    </row>
    <row r="102" spans="2:6">
      <c r="B102" t="s">
        <v>42</v>
      </c>
      <c r="C102">
        <v>871.17100000000005</v>
      </c>
    </row>
    <row r="104" spans="2:6">
      <c r="B104" t="s">
        <v>55</v>
      </c>
    </row>
    <row r="105" spans="2:6">
      <c r="B105" t="s">
        <v>60</v>
      </c>
      <c r="C105">
        <v>1</v>
      </c>
    </row>
    <row r="106" spans="2:6">
      <c r="B106" t="s">
        <v>61</v>
      </c>
      <c r="C106">
        <v>293</v>
      </c>
    </row>
    <row r="107" spans="2:6">
      <c r="B107" t="s">
        <v>62</v>
      </c>
      <c r="C107">
        <v>1</v>
      </c>
    </row>
    <row r="108" spans="2:6">
      <c r="B108" t="s">
        <v>63</v>
      </c>
      <c r="C108">
        <v>353</v>
      </c>
    </row>
    <row r="109" spans="2:6">
      <c r="E109" t="s">
        <v>114</v>
      </c>
      <c r="F109">
        <v>0.78244088124816302</v>
      </c>
    </row>
    <row r="110" spans="2:6">
      <c r="B110" t="s">
        <v>70</v>
      </c>
      <c r="C110">
        <v>293</v>
      </c>
    </row>
    <row r="113" spans="2:13">
      <c r="B113" s="1" t="s">
        <v>134</v>
      </c>
      <c r="C113" s="1" t="s">
        <v>143</v>
      </c>
      <c r="D113" s="1" t="s">
        <v>142</v>
      </c>
      <c r="E113" s="1" t="s">
        <v>141</v>
      </c>
      <c r="F113" s="1" t="s">
        <v>144</v>
      </c>
      <c r="G113" s="1" t="s">
        <v>113</v>
      </c>
      <c r="H113" s="1" t="s">
        <v>88</v>
      </c>
      <c r="I113" s="1" t="s">
        <v>115</v>
      </c>
      <c r="J113" s="1" t="s">
        <v>145</v>
      </c>
      <c r="K113" s="1" t="s">
        <v>118</v>
      </c>
      <c r="L113" s="1" t="s">
        <v>119</v>
      </c>
      <c r="M113" s="1" t="s">
        <v>120</v>
      </c>
    </row>
    <row r="115" spans="2:13">
      <c r="B115">
        <v>2</v>
      </c>
      <c r="C115">
        <v>4.292885551027277E-2</v>
      </c>
      <c r="D115">
        <v>1916.161135758651</v>
      </c>
      <c r="E115">
        <v>2159.5135999999998</v>
      </c>
      <c r="F115">
        <f xml:space="preserve"> (C115*(E115-$C$102))/ ($F$97*($C$108-$C$106))</f>
        <v>0.21947251318702038</v>
      </c>
      <c r="G115">
        <f>($F$96*LN($C$99/D115))</f>
        <v>-1.0230906073142001</v>
      </c>
      <c r="H115">
        <f xml:space="preserve"> ($C$110*C115*(G115)) + ($C$110 * F115*($F$109))</f>
        <v>37.446618227340387</v>
      </c>
      <c r="I115">
        <v>37.446618227340387</v>
      </c>
      <c r="J115">
        <f>D115-$C$99</f>
        <v>1143.161135758651</v>
      </c>
      <c r="K115">
        <f>C115*$F$96*J115</f>
        <v>55.307073323129138</v>
      </c>
      <c r="L115">
        <f>K115*$F$100</f>
        <v>2787476.4954857086</v>
      </c>
      <c r="M115">
        <f>(L115/($F$97*($C$108-$C$106)))</f>
        <v>11061.414664625827</v>
      </c>
    </row>
    <row r="116" spans="2:13">
      <c r="B116">
        <v>3</v>
      </c>
      <c r="C116">
        <v>4.2034504353808753E-2</v>
      </c>
      <c r="D116">
        <v>1951.3430043987992</v>
      </c>
      <c r="E116">
        <v>2199.1635659574467</v>
      </c>
      <c r="F116">
        <f t="shared" ref="F116:F123" si="11" xml:space="preserve"> (C116*(E116-$C$102))/ ($F$97*($C$108-$C$106))</f>
        <v>0.22151392577604742</v>
      </c>
      <c r="G116">
        <f t="shared" ref="G116:G123" si="12">($F$96*LN($C$99/D116))</f>
        <v>-1.0435953350526885</v>
      </c>
      <c r="H116">
        <f t="shared" ref="H116:H123" si="13" xml:space="preserve"> ($C$110*C116*(G116)) + ($C$110 * F116*($F$109))</f>
        <v>37.930179820952745</v>
      </c>
      <c r="I116">
        <v>37.930179820952745</v>
      </c>
      <c r="J116">
        <f t="shared" ref="J116:J123" si="14">D116-$C$99</f>
        <v>1178.3430043987992</v>
      </c>
      <c r="K116">
        <f t="shared" ref="K116:K123" si="15">C116*$F$96*J116</f>
        <v>55.821509295563949</v>
      </c>
      <c r="L116">
        <f t="shared" ref="L116:L123" si="16">K116*$F$100</f>
        <v>2813404.0684964228</v>
      </c>
      <c r="M116">
        <f t="shared" ref="M116:M123" si="17">(L116/($F$97*($C$108-$C$106)))</f>
        <v>11164.301859112789</v>
      </c>
    </row>
    <row r="117" spans="2:13">
      <c r="B117">
        <v>4</v>
      </c>
      <c r="C117">
        <v>4.1140153197344743E-2</v>
      </c>
      <c r="D117">
        <v>1988.0545195015623</v>
      </c>
      <c r="E117">
        <v>2240.5374434782607</v>
      </c>
      <c r="F117">
        <f t="shared" si="11"/>
        <v>0.22355533836507446</v>
      </c>
      <c r="G117">
        <f t="shared" si="12"/>
        <v>-1.0646011233934203</v>
      </c>
      <c r="H117">
        <f t="shared" si="13"/>
        <v>38.418447915755443</v>
      </c>
      <c r="I117">
        <v>38.418447915755443</v>
      </c>
      <c r="J117">
        <f t="shared" si="14"/>
        <v>1215.0545195015623</v>
      </c>
      <c r="K117">
        <f t="shared" si="15"/>
        <v>56.33594526799876</v>
      </c>
      <c r="L117">
        <f t="shared" si="16"/>
        <v>2839331.6415071376</v>
      </c>
      <c r="M117">
        <f t="shared" si="17"/>
        <v>11267.189053599752</v>
      </c>
    </row>
    <row r="118" spans="2:13">
      <c r="B118">
        <v>5</v>
      </c>
      <c r="C118">
        <v>4.0245802040880727E-2</v>
      </c>
      <c r="D118">
        <v>2026.3976574977814</v>
      </c>
      <c r="E118">
        <v>2283.7501599999996</v>
      </c>
      <c r="F118">
        <f t="shared" si="11"/>
        <v>0.22559675095410145</v>
      </c>
      <c r="G118">
        <f t="shared" si="12"/>
        <v>-1.0861303526589954</v>
      </c>
      <c r="H118">
        <f t="shared" si="13"/>
        <v>38.911552503646277</v>
      </c>
      <c r="I118">
        <v>38.911552503646277</v>
      </c>
      <c r="J118">
        <f t="shared" si="14"/>
        <v>1253.3976574977814</v>
      </c>
      <c r="K118">
        <f t="shared" si="15"/>
        <v>56.85038124043357</v>
      </c>
      <c r="L118">
        <f t="shared" si="16"/>
        <v>2865259.2145178518</v>
      </c>
      <c r="M118">
        <f t="shared" si="17"/>
        <v>11370.076248086714</v>
      </c>
    </row>
    <row r="119" spans="2:13">
      <c r="B119">
        <v>6</v>
      </c>
      <c r="C119">
        <v>3.935145088441671E-2</v>
      </c>
      <c r="D119">
        <v>2066.4836654029195</v>
      </c>
      <c r="E119">
        <v>2328.9270909090906</v>
      </c>
      <c r="F119">
        <f t="shared" si="11"/>
        <v>0.22763816354312846</v>
      </c>
      <c r="G119">
        <f t="shared" si="12"/>
        <v>-1.108206915327383</v>
      </c>
      <c r="H119">
        <f t="shared" si="13"/>
        <v>39.409629600005871</v>
      </c>
      <c r="I119">
        <v>39.409629600005871</v>
      </c>
      <c r="J119">
        <f t="shared" si="14"/>
        <v>1293.4836654029195</v>
      </c>
      <c r="K119">
        <f t="shared" si="15"/>
        <v>57.364817212868367</v>
      </c>
      <c r="L119">
        <f t="shared" si="16"/>
        <v>2891186.7875285656</v>
      </c>
      <c r="M119">
        <f t="shared" si="17"/>
        <v>11472.963442573673</v>
      </c>
    </row>
    <row r="120" spans="2:13">
      <c r="B120">
        <v>7</v>
      </c>
      <c r="C120">
        <v>3.8457099727952693E-2</v>
      </c>
      <c r="D120">
        <v>2108.4341387920181</v>
      </c>
      <c r="E120">
        <v>2376.2052744186044</v>
      </c>
      <c r="F120">
        <f t="shared" si="11"/>
        <v>0.22967957613215551</v>
      </c>
      <c r="G120">
        <f t="shared" si="12"/>
        <v>-1.1308563551469673</v>
      </c>
      <c r="H120">
        <f t="shared" si="13"/>
        <v>39.912821657421979</v>
      </c>
      <c r="I120">
        <v>39.912821657421979</v>
      </c>
      <c r="J120">
        <f t="shared" si="14"/>
        <v>1335.4341387920181</v>
      </c>
      <c r="K120">
        <f t="shared" si="15"/>
        <v>57.879253185303192</v>
      </c>
      <c r="L120">
        <f t="shared" si="16"/>
        <v>2917114.3605392808</v>
      </c>
      <c r="M120">
        <f t="shared" si="17"/>
        <v>11575.850637060637</v>
      </c>
    </row>
    <row r="121" spans="2:13">
      <c r="B121">
        <v>8</v>
      </c>
      <c r="C121">
        <v>3.7562748571488676E-2</v>
      </c>
      <c r="D121">
        <v>2152.3822537710735</v>
      </c>
      <c r="E121">
        <v>2425.7347999999997</v>
      </c>
      <c r="F121">
        <f t="shared" si="11"/>
        <v>0.23172098872118252</v>
      </c>
      <c r="G121">
        <f t="shared" si="12"/>
        <v>-1.1541060226229043</v>
      </c>
      <c r="H121">
        <f t="shared" si="13"/>
        <v>40.421278017959317</v>
      </c>
      <c r="I121">
        <v>40.421278017959317</v>
      </c>
      <c r="J121">
        <f t="shared" si="14"/>
        <v>1379.3822537710735</v>
      </c>
      <c r="K121">
        <f t="shared" si="15"/>
        <v>58.393689157737995</v>
      </c>
      <c r="L121">
        <f t="shared" si="16"/>
        <v>2943041.9335499951</v>
      </c>
      <c r="M121">
        <f t="shared" si="17"/>
        <v>11678.7378315476</v>
      </c>
    </row>
    <row r="122" spans="2:13">
      <c r="B122">
        <v>9</v>
      </c>
      <c r="C122">
        <v>3.6668397415024659E-2</v>
      </c>
      <c r="D122">
        <v>2198.4741792369118</v>
      </c>
      <c r="E122">
        <v>2477.6803999999997</v>
      </c>
      <c r="F122">
        <f t="shared" si="11"/>
        <v>0.23376240131020956</v>
      </c>
      <c r="G122">
        <f t="shared" si="12"/>
        <v>-1.1779852492424854</v>
      </c>
      <c r="H122">
        <f t="shared" si="13"/>
        <v>40.935155408566921</v>
      </c>
      <c r="I122">
        <v>40.935155408566921</v>
      </c>
      <c r="J122">
        <f t="shared" si="14"/>
        <v>1425.4741792369118</v>
      </c>
      <c r="K122">
        <f t="shared" si="15"/>
        <v>58.908125130172799</v>
      </c>
      <c r="L122">
        <f t="shared" si="16"/>
        <v>2968969.5065607089</v>
      </c>
      <c r="M122">
        <f t="shared" si="17"/>
        <v>11781.625026034559</v>
      </c>
    </row>
    <row r="123" spans="2:13">
      <c r="B123">
        <v>10</v>
      </c>
      <c r="C123">
        <v>3.5774046258560649E-2</v>
      </c>
      <c r="D123">
        <v>2246.8707009760424</v>
      </c>
      <c r="E123">
        <v>2532.2232799999997</v>
      </c>
      <c r="F123">
        <f t="shared" si="11"/>
        <v>0.2358038138992366</v>
      </c>
      <c r="G123">
        <f t="shared" si="12"/>
        <v>-1.2025255432165856</v>
      </c>
      <c r="H123">
        <f t="shared" si="13"/>
        <v>41.454618484887625</v>
      </c>
      <c r="I123">
        <v>41.454618484887625</v>
      </c>
      <c r="J123">
        <f t="shared" si="14"/>
        <v>1473.8707009760424</v>
      </c>
      <c r="K123">
        <f t="shared" si="15"/>
        <v>59.422561102607624</v>
      </c>
      <c r="L123">
        <f t="shared" si="16"/>
        <v>2994897.0795714241</v>
      </c>
      <c r="M123">
        <f t="shared" si="17"/>
        <v>11884.512220521525</v>
      </c>
    </row>
    <row r="126" spans="2:13">
      <c r="B126" s="7" t="s">
        <v>148</v>
      </c>
      <c r="C126" s="7"/>
      <c r="D126" s="7"/>
    </row>
    <row r="127" spans="2:13">
      <c r="B127" s="7"/>
      <c r="C127" s="7"/>
      <c r="D127" s="7"/>
    </row>
    <row r="128" spans="2:13">
      <c r="B128" s="7"/>
      <c r="C128" s="7"/>
      <c r="D128" s="7"/>
    </row>
    <row r="164" spans="2:6">
      <c r="B164" s="7" t="s">
        <v>117</v>
      </c>
      <c r="C164" s="7"/>
      <c r="D164" s="7"/>
    </row>
    <row r="165" spans="2:6">
      <c r="B165" s="7"/>
      <c r="C165" s="7"/>
      <c r="D165" s="7"/>
    </row>
    <row r="166" spans="2:6">
      <c r="B166" s="7"/>
      <c r="C166" s="7"/>
      <c r="D166" s="7"/>
    </row>
    <row r="168" spans="2:6">
      <c r="B168" t="s">
        <v>74</v>
      </c>
      <c r="C168">
        <v>773</v>
      </c>
      <c r="E168" t="s">
        <v>80</v>
      </c>
      <c r="F168">
        <v>259.76819349035247</v>
      </c>
    </row>
    <row r="169" spans="2:6">
      <c r="B169" t="s">
        <v>75</v>
      </c>
      <c r="C169">
        <v>50</v>
      </c>
    </row>
    <row r="170" spans="2:6">
      <c r="B170" t="s">
        <v>76</v>
      </c>
      <c r="C170">
        <v>1.1000000000000001</v>
      </c>
      <c r="E170" t="s">
        <v>82</v>
      </c>
      <c r="F170">
        <v>336.7529644667996</v>
      </c>
    </row>
    <row r="171" spans="2:6">
      <c r="B171" t="s">
        <v>77</v>
      </c>
      <c r="C171">
        <v>1.4</v>
      </c>
    </row>
    <row r="172" spans="2:6">
      <c r="E172" s="1" t="s">
        <v>89</v>
      </c>
      <c r="F172" s="1">
        <v>1.127</v>
      </c>
    </row>
    <row r="173" spans="2:6">
      <c r="B173" t="s">
        <v>79</v>
      </c>
      <c r="C173">
        <f>(C171-1)/C171</f>
        <v>0.28571428571428564</v>
      </c>
    </row>
    <row r="176" spans="2:6">
      <c r="B176" s="1" t="s">
        <v>134</v>
      </c>
      <c r="C176" s="1" t="s">
        <v>106</v>
      </c>
      <c r="D176" s="1" t="s">
        <v>121</v>
      </c>
      <c r="E176" s="1" t="s">
        <v>122</v>
      </c>
      <c r="F176" s="1" t="s">
        <v>47</v>
      </c>
    </row>
    <row r="178" spans="2:6">
      <c r="B178">
        <v>2</v>
      </c>
      <c r="C178">
        <v>0.1502509942859547</v>
      </c>
      <c r="D178">
        <f>C178*$F$172*($C$168-$F$170)</f>
        <v>73.870962800245337</v>
      </c>
      <c r="E178">
        <f>C178*$F$172*($C$168-$F$168)</f>
        <v>86.907015059112169</v>
      </c>
      <c r="F178">
        <f>E178-D178</f>
        <v>13.036052258866832</v>
      </c>
    </row>
    <row r="179" spans="2:6">
      <c r="B179">
        <v>3</v>
      </c>
      <c r="C179">
        <v>0.14712076523833065</v>
      </c>
      <c r="D179">
        <f t="shared" ref="D179:D186" si="18">C179*$F$172*($C$168-$F$170)</f>
        <v>72.331984408573561</v>
      </c>
      <c r="E179">
        <f t="shared" ref="E179:E186" si="19">C179*$F$172*($C$168-$F$168)</f>
        <v>85.096452245380661</v>
      </c>
      <c r="F179">
        <f t="shared" ref="F179:F186" si="20">E179-D179</f>
        <v>12.7644678368071</v>
      </c>
    </row>
    <row r="180" spans="2:6">
      <c r="B180">
        <v>4</v>
      </c>
      <c r="C180">
        <v>0.14399053619070659</v>
      </c>
      <c r="D180">
        <f t="shared" si="18"/>
        <v>70.793006016901799</v>
      </c>
      <c r="E180">
        <f t="shared" si="19"/>
        <v>83.285889431649167</v>
      </c>
      <c r="F180">
        <f t="shared" si="20"/>
        <v>12.492883414747368</v>
      </c>
    </row>
    <row r="181" spans="2:6">
      <c r="B181">
        <v>5</v>
      </c>
      <c r="C181">
        <v>0.14086030714308254</v>
      </c>
      <c r="D181">
        <f t="shared" si="18"/>
        <v>69.254027625230009</v>
      </c>
      <c r="E181">
        <f t="shared" si="19"/>
        <v>81.475326617917659</v>
      </c>
      <c r="F181">
        <f t="shared" si="20"/>
        <v>12.22129899268765</v>
      </c>
    </row>
    <row r="182" spans="2:6">
      <c r="B182">
        <v>6</v>
      </c>
      <c r="C182">
        <v>0.13773007809545848</v>
      </c>
      <c r="D182">
        <f t="shared" si="18"/>
        <v>67.715049233558233</v>
      </c>
      <c r="E182">
        <f t="shared" si="19"/>
        <v>79.664763804186165</v>
      </c>
      <c r="F182">
        <f t="shared" si="20"/>
        <v>11.949714570627933</v>
      </c>
    </row>
    <row r="183" spans="2:6">
      <c r="B183">
        <v>7</v>
      </c>
      <c r="C183">
        <v>0.13459984904783442</v>
      </c>
      <c r="D183">
        <f t="shared" si="18"/>
        <v>66.176070841886457</v>
      </c>
      <c r="E183">
        <f t="shared" si="19"/>
        <v>77.854200990454643</v>
      </c>
      <c r="F183">
        <f t="shared" si="20"/>
        <v>11.678130148568187</v>
      </c>
    </row>
    <row r="184" spans="2:6">
      <c r="B184">
        <v>8</v>
      </c>
      <c r="C184">
        <v>0.13146962000021037</v>
      </c>
      <c r="D184">
        <f t="shared" si="18"/>
        <v>64.637092450214681</v>
      </c>
      <c r="E184">
        <f t="shared" si="19"/>
        <v>76.04363817672315</v>
      </c>
      <c r="F184">
        <f t="shared" si="20"/>
        <v>11.406545726508469</v>
      </c>
    </row>
    <row r="185" spans="2:6">
      <c r="B185">
        <v>9</v>
      </c>
      <c r="C185">
        <v>0.12833939095258631</v>
      </c>
      <c r="D185">
        <f t="shared" si="18"/>
        <v>63.098114058542905</v>
      </c>
      <c r="E185">
        <f t="shared" si="19"/>
        <v>74.233075362991656</v>
      </c>
      <c r="F185">
        <f t="shared" si="20"/>
        <v>11.134961304448751</v>
      </c>
    </row>
    <row r="186" spans="2:6">
      <c r="B186">
        <v>10</v>
      </c>
      <c r="C186">
        <v>0.12520916190496226</v>
      </c>
      <c r="D186">
        <f t="shared" si="18"/>
        <v>61.559135666871121</v>
      </c>
      <c r="E186">
        <f t="shared" si="19"/>
        <v>72.422512549260148</v>
      </c>
      <c r="F186">
        <f t="shared" si="20"/>
        <v>10.863376882389026</v>
      </c>
    </row>
    <row r="190" spans="2:6">
      <c r="B190" s="7" t="s">
        <v>150</v>
      </c>
      <c r="C190" s="7"/>
      <c r="D190" s="7"/>
    </row>
    <row r="191" spans="2:6">
      <c r="B191" s="7"/>
      <c r="C191" s="7"/>
      <c r="D191" s="7"/>
    </row>
    <row r="192" spans="2:6">
      <c r="B192" s="7"/>
      <c r="C192" s="7"/>
      <c r="D192" s="7"/>
    </row>
    <row r="218" spans="3:4">
      <c r="C218" t="s">
        <v>152</v>
      </c>
      <c r="D218">
        <v>4</v>
      </c>
    </row>
    <row r="219" spans="3:4">
      <c r="D219">
        <f xml:space="preserve"> D218*3600</f>
        <v>14400</v>
      </c>
    </row>
    <row r="220" spans="3:4">
      <c r="C220" t="s">
        <v>125</v>
      </c>
    </row>
    <row r="222" spans="3:4">
      <c r="C222" t="s">
        <v>126</v>
      </c>
    </row>
    <row r="223" spans="3:4">
      <c r="C223" t="s">
        <v>127</v>
      </c>
      <c r="D223">
        <f xml:space="preserve"> 80 * 3600 * 14</f>
        <v>4032000</v>
      </c>
    </row>
    <row r="226" spans="2:7">
      <c r="B226" s="7" t="s">
        <v>124</v>
      </c>
      <c r="C226" s="7"/>
    </row>
    <row r="227" spans="2:7">
      <c r="B227" s="7"/>
      <c r="C227" s="7"/>
    </row>
    <row r="229" spans="2:7">
      <c r="C229" s="1" t="s">
        <v>151</v>
      </c>
      <c r="D229" s="1" t="s">
        <v>119</v>
      </c>
      <c r="E229" s="1" t="s">
        <v>128</v>
      </c>
      <c r="F229" s="1" t="s">
        <v>129</v>
      </c>
      <c r="G229" s="1" t="s">
        <v>130</v>
      </c>
    </row>
    <row r="231" spans="2:7">
      <c r="C231">
        <v>2</v>
      </c>
      <c r="D231">
        <v>2787476.4954857086</v>
      </c>
      <c r="E231">
        <v>73.870962800245337</v>
      </c>
      <c r="F231">
        <f xml:space="preserve"> E231*$D$219</f>
        <v>1063741.8643235329</v>
      </c>
      <c r="G231">
        <f>(D231+F231)/$D$223</f>
        <v>0.95516328368284753</v>
      </c>
    </row>
    <row r="232" spans="2:7">
      <c r="C232">
        <v>3</v>
      </c>
      <c r="D232">
        <v>2813404.0684964228</v>
      </c>
      <c r="E232">
        <v>72.331984408573561</v>
      </c>
      <c r="F232">
        <f t="shared" ref="F232:F239" si="21" xml:space="preserve"> E232*$D$219</f>
        <v>1041580.5754834593</v>
      </c>
      <c r="G232">
        <f t="shared" ref="G232:G239" si="22">(D232+F232)/$D$223</f>
        <v>0.95609738193945482</v>
      </c>
    </row>
    <row r="233" spans="2:7">
      <c r="C233">
        <v>4</v>
      </c>
      <c r="D233">
        <v>2839331.6415071376</v>
      </c>
      <c r="E233">
        <v>70.793006016901799</v>
      </c>
      <c r="F233">
        <f t="shared" si="21"/>
        <v>1019419.2866433859</v>
      </c>
      <c r="G233">
        <f t="shared" si="22"/>
        <v>0.95703148019606232</v>
      </c>
    </row>
    <row r="234" spans="2:7">
      <c r="C234">
        <v>5</v>
      </c>
      <c r="D234">
        <v>2865259.2145178518</v>
      </c>
      <c r="E234">
        <v>69.254027625230009</v>
      </c>
      <c r="F234">
        <f t="shared" si="21"/>
        <v>997257.99780331214</v>
      </c>
      <c r="G234">
        <f t="shared" si="22"/>
        <v>0.95796557845266972</v>
      </c>
    </row>
    <row r="235" spans="2:7">
      <c r="C235">
        <v>6</v>
      </c>
      <c r="D235">
        <v>2891186.7875285656</v>
      </c>
      <c r="E235">
        <v>67.715049233558233</v>
      </c>
      <c r="F235">
        <f t="shared" si="21"/>
        <v>975096.70896323852</v>
      </c>
      <c r="G235">
        <f t="shared" si="22"/>
        <v>0.95889967670927689</v>
      </c>
    </row>
    <row r="236" spans="2:7">
      <c r="C236">
        <v>7</v>
      </c>
      <c r="D236">
        <v>2917114.3605392808</v>
      </c>
      <c r="E236">
        <v>66.176070841886457</v>
      </c>
      <c r="F236">
        <f t="shared" si="21"/>
        <v>952935.42012316501</v>
      </c>
      <c r="G236">
        <f t="shared" si="22"/>
        <v>0.9598337749658844</v>
      </c>
    </row>
    <row r="237" spans="2:7">
      <c r="C237">
        <v>8</v>
      </c>
      <c r="D237">
        <v>2943041.9335499951</v>
      </c>
      <c r="E237">
        <v>64.637092450214681</v>
      </c>
      <c r="F237">
        <f t="shared" si="21"/>
        <v>930774.13128309138</v>
      </c>
      <c r="G237">
        <f t="shared" si="22"/>
        <v>0.96076787322249169</v>
      </c>
    </row>
    <row r="238" spans="2:7">
      <c r="C238">
        <v>9</v>
      </c>
      <c r="D238">
        <v>2968969.5065607089</v>
      </c>
      <c r="E238">
        <v>63.098114058542905</v>
      </c>
      <c r="F238">
        <f t="shared" si="21"/>
        <v>908612.84244301787</v>
      </c>
      <c r="G238">
        <f t="shared" si="22"/>
        <v>0.96170197147909886</v>
      </c>
    </row>
    <row r="239" spans="2:7">
      <c r="C239">
        <v>10</v>
      </c>
      <c r="D239">
        <v>2994897.0795714241</v>
      </c>
      <c r="E239">
        <v>61.559135666871121</v>
      </c>
      <c r="F239">
        <f t="shared" si="21"/>
        <v>886451.55360294413</v>
      </c>
      <c r="G239">
        <f t="shared" si="22"/>
        <v>0.96263606973570637</v>
      </c>
    </row>
  </sheetData>
  <mergeCells count="11">
    <mergeCell ref="B226:C227"/>
    <mergeCell ref="A52:C54"/>
    <mergeCell ref="A92:C93"/>
    <mergeCell ref="B126:D128"/>
    <mergeCell ref="B164:D166"/>
    <mergeCell ref="B190:D192"/>
    <mergeCell ref="A36:C37"/>
    <mergeCell ref="A1:G3"/>
    <mergeCell ref="B5:K6"/>
    <mergeCell ref="E8:K10"/>
    <mergeCell ref="G12:J1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6"/>
  <sheetViews>
    <sheetView topLeftCell="A250" zoomScale="70" zoomScaleNormal="70" workbookViewId="0">
      <selection activeCell="G242" sqref="G242"/>
    </sheetView>
  </sheetViews>
  <sheetFormatPr defaultRowHeight="14.4"/>
  <cols>
    <col min="2" max="2" width="19.33203125" customWidth="1"/>
    <col min="3" max="3" width="39.44140625" customWidth="1"/>
    <col min="4" max="4" width="27.5546875" customWidth="1"/>
    <col min="5" max="5" width="28.5546875" customWidth="1"/>
    <col min="6" max="6" width="28.6640625" customWidth="1"/>
    <col min="7" max="7" width="22.44140625" customWidth="1"/>
    <col min="8" max="8" width="19.44140625" customWidth="1"/>
    <col min="9" max="9" width="14.44140625" customWidth="1"/>
    <col min="10" max="10" width="17.77734375" customWidth="1"/>
    <col min="11" max="11" width="15.44140625" customWidth="1"/>
    <col min="12" max="12" width="16.5546875" customWidth="1"/>
    <col min="13" max="13" width="27.44140625" bestFit="1" customWidth="1"/>
  </cols>
  <sheetData>
    <row r="2" spans="2:17">
      <c r="B2" s="7" t="s">
        <v>153</v>
      </c>
      <c r="C2" s="7"/>
      <c r="D2" s="7"/>
      <c r="E2" s="7"/>
      <c r="F2" s="7"/>
      <c r="G2" s="7"/>
      <c r="H2" s="7"/>
      <c r="J2" s="8" t="s">
        <v>154</v>
      </c>
      <c r="K2" s="8"/>
      <c r="L2" s="8"/>
      <c r="M2" s="8"/>
      <c r="N2" s="8"/>
      <c r="O2" s="8"/>
      <c r="P2" s="8"/>
      <c r="Q2" s="8"/>
    </row>
    <row r="3" spans="2:17">
      <c r="B3" s="7"/>
      <c r="C3" s="7"/>
      <c r="D3" s="7"/>
      <c r="E3" s="7"/>
      <c r="F3" s="7"/>
      <c r="G3" s="7"/>
      <c r="H3" s="7"/>
      <c r="J3" s="8"/>
      <c r="K3" s="8"/>
      <c r="L3" s="8"/>
      <c r="M3" s="8"/>
      <c r="N3" s="8"/>
      <c r="O3" s="8"/>
      <c r="P3" s="8"/>
      <c r="Q3" s="8"/>
    </row>
    <row r="4" spans="2:17">
      <c r="B4" s="7"/>
      <c r="C4" s="7"/>
      <c r="D4" s="7"/>
      <c r="E4" s="7"/>
      <c r="F4" s="7"/>
      <c r="G4" s="7"/>
      <c r="H4" s="7"/>
    </row>
    <row r="6" spans="2:17">
      <c r="G6" s="2"/>
      <c r="H6" s="2"/>
      <c r="I6" s="8" t="s">
        <v>7</v>
      </c>
      <c r="J6" s="8"/>
      <c r="K6" s="8"/>
      <c r="L6" s="8"/>
    </row>
    <row r="7" spans="2:17">
      <c r="B7" t="s">
        <v>92</v>
      </c>
      <c r="C7">
        <v>50</v>
      </c>
      <c r="E7" s="1" t="s">
        <v>98</v>
      </c>
      <c r="F7" s="1">
        <v>295.96519999999998</v>
      </c>
      <c r="G7" s="2"/>
      <c r="H7" s="2"/>
      <c r="I7" s="8"/>
      <c r="J7" s="8"/>
      <c r="K7" s="8"/>
      <c r="L7" s="8"/>
    </row>
    <row r="8" spans="2:17">
      <c r="B8" t="s">
        <v>133</v>
      </c>
      <c r="C8">
        <v>100</v>
      </c>
      <c r="E8" s="1" t="s">
        <v>97</v>
      </c>
      <c r="F8" s="1">
        <v>80</v>
      </c>
    </row>
    <row r="9" spans="2:17">
      <c r="B9" t="s">
        <v>6</v>
      </c>
      <c r="C9">
        <v>0.28699999999999998</v>
      </c>
      <c r="E9" s="1" t="s">
        <v>101</v>
      </c>
      <c r="F9" s="1">
        <v>293</v>
      </c>
    </row>
    <row r="10" spans="2:17">
      <c r="B10" s="1" t="s">
        <v>8</v>
      </c>
      <c r="C10" s="1">
        <v>773</v>
      </c>
      <c r="E10" s="1" t="s">
        <v>19</v>
      </c>
      <c r="F10" s="1">
        <v>294.2</v>
      </c>
    </row>
    <row r="11" spans="2:17">
      <c r="B11" s="1" t="s">
        <v>11</v>
      </c>
      <c r="C11" s="1">
        <v>4</v>
      </c>
      <c r="E11" s="1" t="s">
        <v>102</v>
      </c>
      <c r="F11" s="1">
        <v>1</v>
      </c>
    </row>
    <row r="12" spans="2:17">
      <c r="B12" s="3" t="s">
        <v>12</v>
      </c>
      <c r="C12" s="3">
        <f>4*3600</f>
        <v>14400</v>
      </c>
      <c r="E12" s="1" t="s">
        <v>89</v>
      </c>
      <c r="F12" s="1">
        <v>1.127</v>
      </c>
    </row>
    <row r="13" spans="2:17">
      <c r="B13" s="1" t="s">
        <v>13</v>
      </c>
      <c r="C13" s="1">
        <v>14</v>
      </c>
      <c r="E13" t="s">
        <v>4</v>
      </c>
      <c r="F13">
        <v>2</v>
      </c>
    </row>
    <row r="14" spans="2:17">
      <c r="B14" t="s">
        <v>14</v>
      </c>
      <c r="C14">
        <f>14*3600</f>
        <v>50400</v>
      </c>
    </row>
    <row r="17" spans="1:9">
      <c r="B17" s="1" t="s">
        <v>162</v>
      </c>
      <c r="C17" s="1" t="s">
        <v>155</v>
      </c>
      <c r="D17" s="1" t="s">
        <v>156</v>
      </c>
      <c r="E17" s="1" t="s">
        <v>157</v>
      </c>
      <c r="F17" s="1" t="s">
        <v>158</v>
      </c>
    </row>
    <row r="19" spans="1:9">
      <c r="B19">
        <v>100</v>
      </c>
      <c r="C19">
        <f>($C$7*100*B19)/($C$9*$C$10)</f>
        <v>2253.7649142893206</v>
      </c>
      <c r="D19">
        <f>($F$13*100*B19)/($C$9*$C$10)</f>
        <v>90.150596571572819</v>
      </c>
      <c r="E19">
        <f>(C19-D19)/$C$14</f>
        <v>4.292885551027277E-2</v>
      </c>
      <c r="F19">
        <f>(C19-D19)/$C$12</f>
        <v>0.1502509942859547</v>
      </c>
    </row>
    <row r="20" spans="1:9">
      <c r="B20">
        <v>140</v>
      </c>
      <c r="C20">
        <f t="shared" ref="C20:C24" si="0">($C$7*100*B20)/($C$9*$C$10)</f>
        <v>3155.2708800050486</v>
      </c>
      <c r="D20">
        <f t="shared" ref="D20:D24" si="1">($F$13*100*B20)/($C$9*$C$10)</f>
        <v>126.21083520020196</v>
      </c>
      <c r="E20">
        <f t="shared" ref="E20:E24" si="2">(C20-D20)/$C$14</f>
        <v>6.010039771438188E-2</v>
      </c>
      <c r="F20">
        <f t="shared" ref="F20:F24" si="3">(C20-D20)/$C$12</f>
        <v>0.21035139200033659</v>
      </c>
    </row>
    <row r="21" spans="1:9">
      <c r="B21">
        <v>180</v>
      </c>
      <c r="C21">
        <f t="shared" si="0"/>
        <v>4056.7768457207771</v>
      </c>
      <c r="D21">
        <f t="shared" si="1"/>
        <v>162.27107382883108</v>
      </c>
      <c r="E21">
        <f t="shared" si="2"/>
        <v>7.7271939918490989E-2</v>
      </c>
      <c r="F21">
        <f t="shared" si="3"/>
        <v>0.2704517897147185</v>
      </c>
    </row>
    <row r="22" spans="1:9">
      <c r="B22">
        <v>220</v>
      </c>
      <c r="C22">
        <f t="shared" si="0"/>
        <v>4958.2828114365057</v>
      </c>
      <c r="D22">
        <f t="shared" si="1"/>
        <v>198.3313124574602</v>
      </c>
      <c r="E22">
        <f t="shared" si="2"/>
        <v>9.4443482122600106E-2</v>
      </c>
      <c r="F22">
        <f t="shared" si="3"/>
        <v>0.33055218742910036</v>
      </c>
    </row>
    <row r="23" spans="1:9">
      <c r="B23">
        <v>260</v>
      </c>
      <c r="C23">
        <f t="shared" si="0"/>
        <v>5859.7887771522337</v>
      </c>
      <c r="D23">
        <f t="shared" si="1"/>
        <v>234.39155108608935</v>
      </c>
      <c r="E23">
        <f t="shared" si="2"/>
        <v>0.11161502432670921</v>
      </c>
      <c r="F23">
        <f t="shared" si="3"/>
        <v>0.39065258514348222</v>
      </c>
    </row>
    <row r="24" spans="1:9">
      <c r="B24">
        <v>300</v>
      </c>
      <c r="C24">
        <f t="shared" si="0"/>
        <v>6761.2947428679618</v>
      </c>
      <c r="D24">
        <f t="shared" si="1"/>
        <v>270.45178971471847</v>
      </c>
      <c r="E24">
        <f t="shared" si="2"/>
        <v>0.12878656653081832</v>
      </c>
      <c r="F24">
        <f t="shared" si="3"/>
        <v>0.45075298285786408</v>
      </c>
    </row>
    <row r="27" spans="1:9">
      <c r="A27" s="7" t="s">
        <v>107</v>
      </c>
      <c r="B27" s="7"/>
      <c r="C27" s="7"/>
    </row>
    <row r="28" spans="1:9">
      <c r="A28" s="7"/>
      <c r="B28" s="7"/>
      <c r="C28" s="7"/>
    </row>
    <row r="30" spans="1:9">
      <c r="B30" s="1" t="s">
        <v>162</v>
      </c>
      <c r="C30" s="1" t="s">
        <v>157</v>
      </c>
      <c r="D30" s="1" t="s">
        <v>158</v>
      </c>
      <c r="E30" s="1" t="s">
        <v>99</v>
      </c>
      <c r="F30" s="1" t="s">
        <v>100</v>
      </c>
      <c r="G30" s="1" t="s">
        <v>104</v>
      </c>
      <c r="H30" s="1" t="s">
        <v>103</v>
      </c>
      <c r="I30" s="1" t="s">
        <v>47</v>
      </c>
    </row>
    <row r="32" spans="1:9">
      <c r="B32">
        <v>100</v>
      </c>
      <c r="C32">
        <v>4.292885551027277E-2</v>
      </c>
      <c r="D32">
        <v>0.1502509942859547</v>
      </c>
      <c r="E32">
        <f>($F$8/C32)+$F$7</f>
        <v>2159.5135999999998</v>
      </c>
      <c r="F32">
        <f>(E32/$F$12)</f>
        <v>1916.161135758651</v>
      </c>
      <c r="G32">
        <f xml:space="preserve"> - (($F$12*LN(F32/$F$10)) - ($C$9*LN($C$7/$F$11)))</f>
        <v>-0.98904368870975778</v>
      </c>
      <c r="H32">
        <f xml:space="preserve"> (C32*($F$7-E32)) - ($F$9*C32*(G32))</f>
        <v>-67.559655513451247</v>
      </c>
      <c r="I32">
        <f>$F$8+H32</f>
        <v>12.440344486548753</v>
      </c>
    </row>
    <row r="33" spans="2:9">
      <c r="B33">
        <v>140</v>
      </c>
      <c r="C33">
        <v>6.010039771438188E-2</v>
      </c>
      <c r="D33">
        <v>0.21035139200033659</v>
      </c>
      <c r="E33">
        <f t="shared" ref="E33:E36" si="4">($F$8/C33)+$F$7</f>
        <v>1627.0711999999999</v>
      </c>
      <c r="F33">
        <f t="shared" ref="F33:F36" si="5">(E33/$F$12)</f>
        <v>1443.7188997338064</v>
      </c>
      <c r="G33">
        <f t="shared" ref="G33:G37" si="6" xml:space="preserve"> - (($F$12*LN(F33/$F$10)) - ($C$9*LN($C$7/$F$11)))</f>
        <v>-0.66998838572217934</v>
      </c>
      <c r="H33">
        <f t="shared" ref="H33:H36" si="7" xml:space="preserve"> (C33*($F$7-E33)) - ($F$9*C33*(G33))</f>
        <v>-68.201895445345528</v>
      </c>
      <c r="I33">
        <f t="shared" ref="I33:I37" si="8">$F$8+H33</f>
        <v>11.798104554654472</v>
      </c>
    </row>
    <row r="34" spans="2:9">
      <c r="B34">
        <v>180</v>
      </c>
      <c r="C34">
        <v>7.7271939918490989E-2</v>
      </c>
      <c r="D34">
        <v>0.2704517897147185</v>
      </c>
      <c r="E34">
        <f t="shared" si="4"/>
        <v>1331.2698666666665</v>
      </c>
      <c r="F34">
        <f t="shared" si="5"/>
        <v>1181.2509908311149</v>
      </c>
      <c r="G34">
        <f t="shared" si="6"/>
        <v>-0.4438577345799779</v>
      </c>
      <c r="H34">
        <f t="shared" si="7"/>
        <v>-69.950759777745262</v>
      </c>
      <c r="I34">
        <f t="shared" si="8"/>
        <v>10.049240222254738</v>
      </c>
    </row>
    <row r="35" spans="2:9">
      <c r="B35">
        <v>220</v>
      </c>
      <c r="C35">
        <v>9.4443482122600106E-2</v>
      </c>
      <c r="D35">
        <v>0.33055218742910036</v>
      </c>
      <c r="E35">
        <f t="shared" si="4"/>
        <v>1143.0326545454545</v>
      </c>
      <c r="F35">
        <f t="shared" si="5"/>
        <v>1014.2259578930386</v>
      </c>
      <c r="G35">
        <f t="shared" si="6"/>
        <v>-0.27204847780336383</v>
      </c>
      <c r="H35">
        <f t="shared" si="7"/>
        <v>-72.471890773878556</v>
      </c>
      <c r="I35">
        <f t="shared" si="8"/>
        <v>7.528109226121444</v>
      </c>
    </row>
    <row r="36" spans="2:9">
      <c r="B36">
        <v>260</v>
      </c>
      <c r="C36">
        <v>0.11161502432670921</v>
      </c>
      <c r="D36">
        <v>0.39065258514348222</v>
      </c>
      <c r="E36">
        <f t="shared" si="4"/>
        <v>1012.7145846153845</v>
      </c>
      <c r="F36">
        <f t="shared" si="5"/>
        <v>898.59324278206259</v>
      </c>
      <c r="G36">
        <f t="shared" si="6"/>
        <v>-0.13562454109314714</v>
      </c>
      <c r="H36">
        <f t="shared" si="7"/>
        <v>-75.564643219150753</v>
      </c>
      <c r="I36">
        <f t="shared" si="8"/>
        <v>4.4353567808492471</v>
      </c>
    </row>
    <row r="37" spans="2:9">
      <c r="B37">
        <v>300</v>
      </c>
      <c r="C37">
        <v>0.12878656653081832</v>
      </c>
      <c r="D37">
        <v>0.45075298285786408</v>
      </c>
      <c r="E37">
        <f>($F$8/C37)+$F$7</f>
        <v>917.14799999999991</v>
      </c>
      <c r="F37">
        <f>(E37/$F$12)</f>
        <v>813.79591836734687</v>
      </c>
      <c r="G37">
        <f t="shared" si="6"/>
        <v>-2.3915335413561056E-2</v>
      </c>
      <c r="H37">
        <f xml:space="preserve"> (C37*($F$7-E37)) - ($F$9*C37*(G37))</f>
        <v>-79.097567636943793</v>
      </c>
      <c r="I37">
        <f t="shared" si="8"/>
        <v>0.90243236305620655</v>
      </c>
    </row>
    <row r="39" spans="2:9">
      <c r="B39" s="7" t="s">
        <v>159</v>
      </c>
      <c r="C39" s="7"/>
      <c r="D39" s="7"/>
    </row>
    <row r="40" spans="2:9">
      <c r="B40" s="7"/>
      <c r="C40" s="7"/>
      <c r="D40" s="7"/>
    </row>
    <row r="41" spans="2:9">
      <c r="B41" s="7"/>
      <c r="C41" s="7"/>
      <c r="D41" s="7"/>
    </row>
    <row r="76" spans="2:7">
      <c r="B76" s="7" t="s">
        <v>109</v>
      </c>
      <c r="C76" s="7"/>
      <c r="D76" s="7"/>
    </row>
    <row r="77" spans="2:7">
      <c r="B77" s="7"/>
      <c r="C77" s="7"/>
      <c r="D77" s="7"/>
    </row>
    <row r="79" spans="2:7">
      <c r="C79" t="s">
        <v>54</v>
      </c>
    </row>
    <row r="80" spans="2:7">
      <c r="C80" t="s">
        <v>56</v>
      </c>
      <c r="D80">
        <v>50</v>
      </c>
      <c r="F80" t="s">
        <v>89</v>
      </c>
      <c r="G80">
        <v>1.127</v>
      </c>
    </row>
    <row r="81" spans="3:7">
      <c r="C81" t="s">
        <v>57</v>
      </c>
      <c r="D81">
        <v>1916.1611</v>
      </c>
      <c r="F81" t="s">
        <v>112</v>
      </c>
      <c r="G81">
        <v>4.2</v>
      </c>
    </row>
    <row r="82" spans="3:7">
      <c r="C82" t="s">
        <v>58</v>
      </c>
      <c r="D82">
        <v>50</v>
      </c>
    </row>
    <row r="83" spans="3:7">
      <c r="C83" t="s">
        <v>59</v>
      </c>
      <c r="D83">
        <v>773</v>
      </c>
      <c r="F83" s="1" t="s">
        <v>13</v>
      </c>
      <c r="G83" s="1">
        <v>14</v>
      </c>
    </row>
    <row r="84" spans="3:7">
      <c r="C84" t="s">
        <v>40</v>
      </c>
      <c r="D84">
        <v>4.2928856000000001E-2</v>
      </c>
      <c r="F84" t="s">
        <v>14</v>
      </c>
      <c r="G84">
        <f>14*3600</f>
        <v>50400</v>
      </c>
    </row>
    <row r="85" spans="3:7">
      <c r="C85" t="s">
        <v>41</v>
      </c>
      <c r="D85">
        <v>2159.5136000000002</v>
      </c>
    </row>
    <row r="86" spans="3:7">
      <c r="C86" t="s">
        <v>42</v>
      </c>
      <c r="D86">
        <v>871.17100000000005</v>
      </c>
    </row>
    <row r="88" spans="3:7">
      <c r="C88" t="s">
        <v>55</v>
      </c>
    </row>
    <row r="89" spans="3:7">
      <c r="C89" t="s">
        <v>60</v>
      </c>
      <c r="D89">
        <v>1</v>
      </c>
    </row>
    <row r="90" spans="3:7">
      <c r="C90" t="s">
        <v>61</v>
      </c>
      <c r="D90">
        <v>293</v>
      </c>
    </row>
    <row r="91" spans="3:7">
      <c r="C91" t="s">
        <v>62</v>
      </c>
      <c r="D91">
        <v>1</v>
      </c>
    </row>
    <row r="92" spans="3:7">
      <c r="C92" t="s">
        <v>63</v>
      </c>
      <c r="D92">
        <v>353</v>
      </c>
    </row>
    <row r="93" spans="3:7">
      <c r="F93" t="s">
        <v>114</v>
      </c>
      <c r="G93">
        <v>0.78244088124816302</v>
      </c>
    </row>
    <row r="94" spans="3:7">
      <c r="C94" t="s">
        <v>70</v>
      </c>
      <c r="D94">
        <v>293</v>
      </c>
    </row>
    <row r="97" spans="1:13">
      <c r="B97" s="1" t="s">
        <v>162</v>
      </c>
      <c r="C97" s="1" t="s">
        <v>143</v>
      </c>
      <c r="D97" s="1" t="s">
        <v>142</v>
      </c>
      <c r="E97" s="1" t="s">
        <v>141</v>
      </c>
      <c r="F97" s="1" t="s">
        <v>144</v>
      </c>
      <c r="G97" s="1" t="s">
        <v>113</v>
      </c>
      <c r="H97" s="1" t="s">
        <v>88</v>
      </c>
      <c r="I97" s="1" t="s">
        <v>115</v>
      </c>
      <c r="J97" s="1" t="s">
        <v>160</v>
      </c>
      <c r="K97" s="1" t="s">
        <v>118</v>
      </c>
      <c r="L97" s="1" t="s">
        <v>119</v>
      </c>
      <c r="M97" s="1" t="s">
        <v>120</v>
      </c>
    </row>
    <row r="99" spans="1:13">
      <c r="B99">
        <v>100</v>
      </c>
      <c r="C99">
        <v>4.292885551027277E-2</v>
      </c>
      <c r="D99">
        <v>1916.161135758651</v>
      </c>
      <c r="E99">
        <v>2159.5135999999998</v>
      </c>
      <c r="F99">
        <f xml:space="preserve"> (C99*(E99-$D$86))/($G$81*($D$92-$D$90))</f>
        <v>0.21947251318702038</v>
      </c>
      <c r="G99">
        <f xml:space="preserve"> ($G$80*LN($D$83/D99))</f>
        <v>-1.0230906073142001</v>
      </c>
      <c r="H99">
        <f xml:space="preserve"> ($D$94*C99*(G99)) + ($D$94*F99*($G$93))</f>
        <v>37.446618227340387</v>
      </c>
      <c r="I99">
        <v>37.446618227340387</v>
      </c>
      <c r="J99">
        <f>D99-$D$83</f>
        <v>1143.161135758651</v>
      </c>
      <c r="K99">
        <f>C99*$G$80*J99</f>
        <v>55.307073323129138</v>
      </c>
      <c r="L99">
        <f>K99*$G$84</f>
        <v>2787476.4954857086</v>
      </c>
      <c r="M99">
        <f>(L99/($G$81*($D$92-$D$90)))</f>
        <v>11061.414664625827</v>
      </c>
    </row>
    <row r="100" spans="1:13">
      <c r="B100">
        <v>140</v>
      </c>
      <c r="C100">
        <v>6.010039771438188E-2</v>
      </c>
      <c r="D100">
        <v>1443.7188997338064</v>
      </c>
      <c r="E100">
        <v>1627.0711999999999</v>
      </c>
      <c r="F100">
        <f t="shared" ref="F100:F104" si="9" xml:space="preserve"> (C100*(E100-$D$86))/($G$81*($D$92-$D$90))</f>
        <v>0.18027739147770158</v>
      </c>
      <c r="G100">
        <f t="shared" ref="G100:G104" si="10" xml:space="preserve"> ($G$80*LN($D$83/D100))</f>
        <v>-0.70403530432662154</v>
      </c>
      <c r="H100">
        <f t="shared" ref="H100:H104" si="11" xml:space="preserve"> ($D$94*C100*(G100)) + ($D$94*F100*($G$93))</f>
        <v>28.931874583747557</v>
      </c>
      <c r="I100">
        <v>28.931874583747557</v>
      </c>
      <c r="J100">
        <f t="shared" ref="J100:J104" si="12">D100-$D$83</f>
        <v>670.71889973380644</v>
      </c>
      <c r="K100">
        <f t="shared" ref="K100:K104" si="13">C100*$G$80*J100</f>
        <v>45.429902652380797</v>
      </c>
      <c r="L100">
        <f t="shared" ref="L100:L104" si="14">K100*$G$84</f>
        <v>2289667.093679992</v>
      </c>
      <c r="M100">
        <f t="shared" ref="M100:M104" si="15">(L100/($G$81*($D$92-$D$90)))</f>
        <v>9085.9805304761594</v>
      </c>
    </row>
    <row r="101" spans="1:13">
      <c r="B101">
        <v>180</v>
      </c>
      <c r="C101">
        <v>7.7271939918490989E-2</v>
      </c>
      <c r="D101">
        <v>1181.2509908311149</v>
      </c>
      <c r="E101">
        <v>1331.2698666666665</v>
      </c>
      <c r="F101">
        <f t="shared" si="9"/>
        <v>0.14108226976838273</v>
      </c>
      <c r="G101">
        <f t="shared" si="10"/>
        <v>-0.47790465318441994</v>
      </c>
      <c r="H101">
        <f t="shared" si="11"/>
        <v>21.523755340660188</v>
      </c>
      <c r="I101">
        <v>21.523755340660188</v>
      </c>
      <c r="J101">
        <f t="shared" si="12"/>
        <v>408.2509908311149</v>
      </c>
      <c r="K101">
        <f t="shared" si="13"/>
        <v>35.552731981632448</v>
      </c>
      <c r="L101">
        <f t="shared" si="14"/>
        <v>1791857.6918742754</v>
      </c>
      <c r="M101">
        <f t="shared" si="15"/>
        <v>7110.5463963264901</v>
      </c>
    </row>
    <row r="102" spans="1:13">
      <c r="B102">
        <v>220</v>
      </c>
      <c r="C102">
        <v>9.4443482122600106E-2</v>
      </c>
      <c r="D102">
        <v>1014.2259578930386</v>
      </c>
      <c r="E102">
        <v>1143.0326545454545</v>
      </c>
      <c r="F102">
        <f t="shared" si="9"/>
        <v>0.10188714805906396</v>
      </c>
      <c r="G102">
        <f t="shared" si="10"/>
        <v>-0.30609539640780603</v>
      </c>
      <c r="H102">
        <f t="shared" si="11"/>
        <v>14.887902761306357</v>
      </c>
      <c r="I102">
        <v>14.887902761306357</v>
      </c>
      <c r="J102">
        <f t="shared" si="12"/>
        <v>241.22595789303864</v>
      </c>
      <c r="K102">
        <f t="shared" si="13"/>
        <v>25.67556131088412</v>
      </c>
      <c r="L102">
        <f t="shared" si="14"/>
        <v>1294048.2900685596</v>
      </c>
      <c r="M102">
        <f t="shared" si="15"/>
        <v>5135.1122621768236</v>
      </c>
    </row>
    <row r="103" spans="1:13">
      <c r="B103">
        <v>260</v>
      </c>
      <c r="C103">
        <v>0.11161502432670921</v>
      </c>
      <c r="D103">
        <v>898.59324278206259</v>
      </c>
      <c r="E103">
        <v>1012.7145846153845</v>
      </c>
      <c r="F103">
        <f t="shared" si="9"/>
        <v>6.2692026349745078E-2</v>
      </c>
      <c r="G103">
        <f t="shared" si="10"/>
        <v>-0.16967145969758921</v>
      </c>
      <c r="H103">
        <f t="shared" si="11"/>
        <v>8.8236716310914431</v>
      </c>
      <c r="I103">
        <v>8.8236716310914431</v>
      </c>
      <c r="J103">
        <f t="shared" si="12"/>
        <v>125.59324278206259</v>
      </c>
      <c r="K103">
        <f t="shared" si="13"/>
        <v>15.798390640135768</v>
      </c>
      <c r="L103">
        <f t="shared" si="14"/>
        <v>796238.88826284267</v>
      </c>
      <c r="M103">
        <f t="shared" si="15"/>
        <v>3159.6781280271534</v>
      </c>
    </row>
    <row r="104" spans="1:13">
      <c r="B104">
        <v>300</v>
      </c>
      <c r="C104">
        <v>0.12878656653081832</v>
      </c>
      <c r="D104">
        <v>813.79591836734687</v>
      </c>
      <c r="E104">
        <v>917.14799999999991</v>
      </c>
      <c r="F104">
        <f t="shared" si="9"/>
        <v>2.3496904640426256E-2</v>
      </c>
      <c r="G104">
        <f t="shared" si="10"/>
        <v>-5.7962254018003298E-2</v>
      </c>
      <c r="H104">
        <f t="shared" si="11"/>
        <v>3.1996124733973654</v>
      </c>
      <c r="I104">
        <v>3.1996124733973654</v>
      </c>
      <c r="J104">
        <f t="shared" si="12"/>
        <v>40.795918367346871</v>
      </c>
      <c r="K104">
        <f t="shared" si="13"/>
        <v>5.9212199693874243</v>
      </c>
      <c r="L104">
        <f t="shared" si="14"/>
        <v>298429.48645712622</v>
      </c>
      <c r="M104">
        <f t="shared" si="15"/>
        <v>1184.2439938774851</v>
      </c>
    </row>
    <row r="107" spans="1:13">
      <c r="A107" s="7" t="s">
        <v>161</v>
      </c>
      <c r="B107" s="7"/>
      <c r="C107" s="7"/>
    </row>
    <row r="108" spans="1:13">
      <c r="A108" s="7"/>
      <c r="B108" s="7"/>
      <c r="C108" s="7"/>
    </row>
    <row r="109" spans="1:13">
      <c r="A109" s="7"/>
      <c r="B109" s="7"/>
      <c r="C109" s="7"/>
    </row>
    <row r="145" spans="2:6">
      <c r="B145" s="7" t="s">
        <v>117</v>
      </c>
      <c r="C145" s="7"/>
      <c r="D145" s="7"/>
    </row>
    <row r="146" spans="2:6">
      <c r="B146" s="7"/>
      <c r="C146" s="7"/>
      <c r="D146" s="7"/>
    </row>
    <row r="147" spans="2:6">
      <c r="B147" s="7"/>
      <c r="C147" s="7"/>
      <c r="D147" s="7"/>
    </row>
    <row r="149" spans="2:6">
      <c r="B149" t="s">
        <v>74</v>
      </c>
      <c r="C149">
        <v>773</v>
      </c>
      <c r="E149" t="s">
        <v>80</v>
      </c>
      <c r="F149">
        <v>259.76819349035247</v>
      </c>
    </row>
    <row r="150" spans="2:6">
      <c r="B150" t="s">
        <v>75</v>
      </c>
      <c r="C150">
        <v>50</v>
      </c>
    </row>
    <row r="151" spans="2:6">
      <c r="B151" t="s">
        <v>76</v>
      </c>
      <c r="C151">
        <v>1.1000000000000001</v>
      </c>
      <c r="E151" t="s">
        <v>82</v>
      </c>
      <c r="F151">
        <v>336.7529644667996</v>
      </c>
    </row>
    <row r="152" spans="2:6">
      <c r="B152" t="s">
        <v>77</v>
      </c>
      <c r="C152">
        <v>1.4</v>
      </c>
    </row>
    <row r="153" spans="2:6">
      <c r="E153" s="1" t="s">
        <v>89</v>
      </c>
      <c r="F153" s="1">
        <v>1.127</v>
      </c>
    </row>
    <row r="154" spans="2:6">
      <c r="B154" t="s">
        <v>79</v>
      </c>
      <c r="C154">
        <f>(C152-1)/C152</f>
        <v>0.28571428571428564</v>
      </c>
    </row>
    <row r="160" spans="2:6">
      <c r="B160" s="1" t="s">
        <v>162</v>
      </c>
      <c r="C160" s="1" t="s">
        <v>106</v>
      </c>
      <c r="D160" s="1" t="s">
        <v>121</v>
      </c>
      <c r="E160" s="1" t="s">
        <v>122</v>
      </c>
      <c r="F160" s="1" t="s">
        <v>47</v>
      </c>
    </row>
    <row r="162" spans="2:6">
      <c r="B162">
        <v>100</v>
      </c>
      <c r="C162">
        <v>0.1502509942859547</v>
      </c>
      <c r="D162">
        <f xml:space="preserve"> $F$153*C162*($C$149-$F$151)</f>
        <v>73.870962800245337</v>
      </c>
      <c r="E162">
        <f>C162*$F$153*($C$149-$F$149)</f>
        <v>86.907015059112169</v>
      </c>
      <c r="F162">
        <f>E162-D162</f>
        <v>13.036052258866832</v>
      </c>
    </row>
    <row r="163" spans="2:6">
      <c r="B163">
        <v>140</v>
      </c>
      <c r="C163">
        <v>0.21035139200033659</v>
      </c>
      <c r="D163">
        <f t="shared" ref="D163:D167" si="16" xml:space="preserve"> $F$153*C163*($C$149-$F$151)</f>
        <v>103.41934792034348</v>
      </c>
      <c r="E163">
        <f t="shared" ref="E163:E167" si="17">C163*$F$153*($C$149-$F$149)</f>
        <v>121.66982108275704</v>
      </c>
      <c r="F163">
        <f t="shared" ref="F163:F167" si="18">E163-D163</f>
        <v>18.250473162413556</v>
      </c>
    </row>
    <row r="164" spans="2:6">
      <c r="B164">
        <v>180</v>
      </c>
      <c r="C164">
        <v>0.2704517897147185</v>
      </c>
      <c r="D164">
        <f t="shared" si="16"/>
        <v>132.96773304044163</v>
      </c>
      <c r="E164">
        <f t="shared" si="17"/>
        <v>156.43262710640192</v>
      </c>
      <c r="F164">
        <f t="shared" si="18"/>
        <v>23.464894065960294</v>
      </c>
    </row>
    <row r="165" spans="2:6">
      <c r="B165">
        <v>220</v>
      </c>
      <c r="C165">
        <v>0.33055218742910036</v>
      </c>
      <c r="D165">
        <f t="shared" si="16"/>
        <v>162.51611816053978</v>
      </c>
      <c r="E165">
        <f t="shared" si="17"/>
        <v>191.19543313004678</v>
      </c>
      <c r="F165">
        <f t="shared" si="18"/>
        <v>28.679314969507004</v>
      </c>
    </row>
    <row r="166" spans="2:6">
      <c r="B166">
        <v>260</v>
      </c>
      <c r="C166">
        <v>0.39065258514348222</v>
      </c>
      <c r="D166">
        <f t="shared" si="16"/>
        <v>192.06450328063789</v>
      </c>
      <c r="E166">
        <f t="shared" si="17"/>
        <v>225.95823915369164</v>
      </c>
      <c r="F166">
        <f t="shared" si="18"/>
        <v>33.893735873053743</v>
      </c>
    </row>
    <row r="167" spans="2:6">
      <c r="B167">
        <v>300</v>
      </c>
      <c r="C167">
        <v>0.45075298285786408</v>
      </c>
      <c r="D167">
        <f t="shared" si="16"/>
        <v>221.61288840073604</v>
      </c>
      <c r="E167">
        <f t="shared" si="17"/>
        <v>260.72104517733652</v>
      </c>
      <c r="F167">
        <f t="shared" si="18"/>
        <v>39.108156776600481</v>
      </c>
    </row>
    <row r="169" spans="2:6">
      <c r="B169" s="7" t="s">
        <v>164</v>
      </c>
      <c r="C169" s="7"/>
      <c r="D169" s="7"/>
    </row>
    <row r="170" spans="2:6">
      <c r="B170" s="7"/>
      <c r="C170" s="7"/>
      <c r="D170" s="7"/>
    </row>
    <row r="171" spans="2:6">
      <c r="B171" s="7"/>
      <c r="C171" s="7"/>
      <c r="D171" s="7"/>
    </row>
    <row r="193" spans="2:7">
      <c r="B193" s="7" t="s">
        <v>124</v>
      </c>
      <c r="C193" s="7"/>
    </row>
    <row r="194" spans="2:7">
      <c r="B194" s="7"/>
      <c r="C194" s="7"/>
    </row>
    <row r="196" spans="2:7">
      <c r="C196" s="1" t="s">
        <v>163</v>
      </c>
      <c r="D196" s="1" t="s">
        <v>119</v>
      </c>
      <c r="E196" s="1" t="s">
        <v>128</v>
      </c>
      <c r="F196" s="1" t="s">
        <v>129</v>
      </c>
      <c r="G196" s="1" t="s">
        <v>130</v>
      </c>
    </row>
    <row r="198" spans="2:7">
      <c r="C198">
        <v>100</v>
      </c>
      <c r="D198">
        <v>2787476.4954857086</v>
      </c>
      <c r="E198">
        <v>73.870962800245337</v>
      </c>
      <c r="F198">
        <f>E198*4*3600</f>
        <v>1063741.8643235329</v>
      </c>
      <c r="G198">
        <f>( D198+F198) / $C$211</f>
        <v>0.95516328368284753</v>
      </c>
    </row>
    <row r="199" spans="2:7">
      <c r="C199">
        <v>140</v>
      </c>
      <c r="D199">
        <v>2289667.093679992</v>
      </c>
      <c r="E199">
        <v>103.41934792034348</v>
      </c>
      <c r="F199">
        <f t="shared" ref="F199:F203" si="19">E199*4*3600</f>
        <v>1489238.6100529463</v>
      </c>
      <c r="G199">
        <f t="shared" ref="G199:G203" si="20">( D199+F199) / $C$211</f>
        <v>0.93722859715598672</v>
      </c>
    </row>
    <row r="200" spans="2:7">
      <c r="C200">
        <v>180</v>
      </c>
      <c r="D200">
        <v>1791857.6918742754</v>
      </c>
      <c r="E200">
        <v>132.96773304044163</v>
      </c>
      <c r="F200">
        <f t="shared" si="19"/>
        <v>1914735.3557823594</v>
      </c>
      <c r="G200">
        <f t="shared" si="20"/>
        <v>0.91929391062912569</v>
      </c>
    </row>
    <row r="201" spans="2:7">
      <c r="C201">
        <v>220</v>
      </c>
      <c r="D201">
        <v>1294048.2900685596</v>
      </c>
      <c r="E201">
        <v>162.51611816053978</v>
      </c>
      <c r="F201">
        <f t="shared" si="19"/>
        <v>2340232.1015117727</v>
      </c>
      <c r="G201">
        <f t="shared" si="20"/>
        <v>0.90135922410226488</v>
      </c>
    </row>
    <row r="202" spans="2:7">
      <c r="C202">
        <v>260</v>
      </c>
      <c r="D202">
        <v>796238.88826284267</v>
      </c>
      <c r="E202">
        <v>192.06450328063789</v>
      </c>
      <c r="F202">
        <f t="shared" si="19"/>
        <v>2765728.8472411856</v>
      </c>
      <c r="G202">
        <f t="shared" si="20"/>
        <v>0.88342453757540385</v>
      </c>
    </row>
    <row r="203" spans="2:7">
      <c r="C203">
        <v>300</v>
      </c>
      <c r="D203">
        <v>298429.48645712622</v>
      </c>
      <c r="E203">
        <v>221.61288840073604</v>
      </c>
      <c r="F203">
        <f t="shared" si="19"/>
        <v>3191225.592970599</v>
      </c>
      <c r="G203">
        <f t="shared" si="20"/>
        <v>0.86548985104854292</v>
      </c>
    </row>
    <row r="206" spans="2:7">
      <c r="B206" t="s">
        <v>152</v>
      </c>
      <c r="C206">
        <v>4</v>
      </c>
    </row>
    <row r="207" spans="2:7">
      <c r="C207">
        <f xml:space="preserve"> C206*3600</f>
        <v>14400</v>
      </c>
    </row>
    <row r="208" spans="2:7">
      <c r="B208" t="s">
        <v>125</v>
      </c>
    </row>
    <row r="210" spans="2:4">
      <c r="B210" t="s">
        <v>126</v>
      </c>
    </row>
    <row r="211" spans="2:4">
      <c r="B211" t="s">
        <v>127</v>
      </c>
      <c r="C211">
        <f xml:space="preserve"> 80 * 3600 * 14</f>
        <v>4032000</v>
      </c>
    </row>
    <row r="214" spans="2:4">
      <c r="B214" s="7" t="s">
        <v>165</v>
      </c>
      <c r="C214" s="7"/>
      <c r="D214" s="7"/>
    </row>
    <row r="215" spans="2:4">
      <c r="B215" s="7"/>
      <c r="C215" s="7"/>
      <c r="D215" s="7"/>
    </row>
    <row r="216" spans="2:4">
      <c r="B216" s="7"/>
      <c r="C216" s="7"/>
      <c r="D216" s="7"/>
    </row>
  </sheetData>
  <mergeCells count="11">
    <mergeCell ref="B39:D41"/>
    <mergeCell ref="B76:D77"/>
    <mergeCell ref="B2:H4"/>
    <mergeCell ref="I6:L7"/>
    <mergeCell ref="J2:Q3"/>
    <mergeCell ref="A27:C28"/>
    <mergeCell ref="A107:C109"/>
    <mergeCell ref="B145:D147"/>
    <mergeCell ref="B169:D171"/>
    <mergeCell ref="B193:C194"/>
    <mergeCell ref="B214:D216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94"/>
  <sheetViews>
    <sheetView topLeftCell="A154" zoomScaleNormal="100" workbookViewId="0">
      <selection activeCell="C6" sqref="C6"/>
    </sheetView>
  </sheetViews>
  <sheetFormatPr defaultRowHeight="14.4"/>
  <cols>
    <col min="2" max="2" width="34.77734375" customWidth="1"/>
    <col min="3" max="3" width="22" customWidth="1"/>
    <col min="5" max="5" width="19.21875" customWidth="1"/>
    <col min="6" max="6" width="30.44140625" customWidth="1"/>
    <col min="7" max="7" width="11.33203125" customWidth="1"/>
    <col min="12" max="12" width="32.77734375" customWidth="1"/>
  </cols>
  <sheetData>
    <row r="2" spans="1:12">
      <c r="A2" s="7" t="s">
        <v>166</v>
      </c>
      <c r="B2" s="7"/>
      <c r="C2" s="7"/>
      <c r="D2" s="7"/>
    </row>
    <row r="3" spans="1:12">
      <c r="A3" s="7"/>
      <c r="B3" s="7"/>
      <c r="C3" s="7"/>
      <c r="D3" s="7"/>
    </row>
    <row r="5" spans="1:12">
      <c r="B5" s="3" t="s">
        <v>92</v>
      </c>
      <c r="C5" s="1">
        <v>70</v>
      </c>
      <c r="F5" s="1" t="s">
        <v>167</v>
      </c>
      <c r="G5">
        <f>(C5*100*C6)/(C7*C8)</f>
        <v>4732.9063200075734</v>
      </c>
    </row>
    <row r="6" spans="1:12">
      <c r="B6" s="3" t="s">
        <v>133</v>
      </c>
      <c r="C6" s="3">
        <v>150</v>
      </c>
      <c r="F6" s="1"/>
    </row>
    <row r="7" spans="1:12">
      <c r="B7" s="3" t="s">
        <v>6</v>
      </c>
      <c r="C7">
        <v>0.28699999999999998</v>
      </c>
      <c r="F7" s="1" t="s">
        <v>168</v>
      </c>
      <c r="G7">
        <f xml:space="preserve"> (C13*100*C6)/(C7*C8)</f>
        <v>202.83884228603887</v>
      </c>
    </row>
    <row r="8" spans="1:12">
      <c r="B8" s="3" t="s">
        <v>8</v>
      </c>
      <c r="C8" s="3">
        <v>773</v>
      </c>
      <c r="F8" s="1"/>
    </row>
    <row r="9" spans="1:12">
      <c r="B9" s="3" t="s">
        <v>11</v>
      </c>
      <c r="C9" s="3">
        <v>4</v>
      </c>
      <c r="F9" s="1" t="s">
        <v>137</v>
      </c>
      <c r="G9">
        <f xml:space="preserve"> (G5-G7)/C12</f>
        <v>8.988229122463362E-2</v>
      </c>
    </row>
    <row r="10" spans="1:12">
      <c r="B10" s="3" t="s">
        <v>12</v>
      </c>
      <c r="C10" s="3">
        <f>C9*3600</f>
        <v>14400</v>
      </c>
      <c r="F10" s="1"/>
      <c r="K10" s="1"/>
      <c r="L10" s="1"/>
    </row>
    <row r="11" spans="1:12">
      <c r="B11" s="3" t="s">
        <v>13</v>
      </c>
      <c r="C11" s="3">
        <v>14</v>
      </c>
      <c r="F11" s="1" t="s">
        <v>138</v>
      </c>
      <c r="G11">
        <f xml:space="preserve"> (G5-G7)/C10</f>
        <v>0.31458801928621766</v>
      </c>
    </row>
    <row r="12" spans="1:12">
      <c r="B12" s="3" t="s">
        <v>14</v>
      </c>
      <c r="C12" s="3">
        <f>C11*3600</f>
        <v>50400</v>
      </c>
    </row>
    <row r="13" spans="1:12">
      <c r="B13" s="3" t="s">
        <v>4</v>
      </c>
      <c r="C13" s="3">
        <v>3</v>
      </c>
    </row>
    <row r="15" spans="1:12">
      <c r="A15" s="7" t="s">
        <v>169</v>
      </c>
      <c r="B15" s="7"/>
      <c r="C15" s="7"/>
    </row>
    <row r="16" spans="1:12">
      <c r="A16" s="7"/>
      <c r="B16" s="7"/>
      <c r="C16" s="7"/>
    </row>
    <row r="18" spans="2:7">
      <c r="B18" s="3" t="s">
        <v>18</v>
      </c>
      <c r="C18" s="3">
        <v>21.2</v>
      </c>
      <c r="F18" s="1"/>
      <c r="G18" s="1"/>
    </row>
    <row r="19" spans="2:7">
      <c r="B19" s="3" t="s">
        <v>19</v>
      </c>
      <c r="C19" s="3">
        <v>294.2</v>
      </c>
    </row>
    <row r="20" spans="2:7">
      <c r="B20" s="3"/>
      <c r="C20" s="3"/>
      <c r="F20" s="1" t="s">
        <v>170</v>
      </c>
      <c r="G20" s="1">
        <f xml:space="preserve"> (C27/G9)+C25</f>
        <v>1186.018167164179</v>
      </c>
    </row>
    <row r="21" spans="2:7">
      <c r="B21" s="3" t="s">
        <v>21</v>
      </c>
      <c r="C21" s="3">
        <v>1.006</v>
      </c>
    </row>
    <row r="22" spans="2:7">
      <c r="B22" s="3" t="s">
        <v>20</v>
      </c>
      <c r="C22" s="3">
        <v>1.127</v>
      </c>
      <c r="F22" s="1" t="s">
        <v>171</v>
      </c>
      <c r="G22" s="1">
        <f xml:space="preserve"> ( G20/C22)</f>
        <v>1052.3674952654649</v>
      </c>
    </row>
    <row r="23" spans="2:7">
      <c r="B23" s="3"/>
      <c r="C23" s="3"/>
    </row>
    <row r="24" spans="2:7">
      <c r="B24" s="3" t="s">
        <v>22</v>
      </c>
      <c r="C24" s="3"/>
    </row>
    <row r="25" spans="2:7">
      <c r="B25" s="3" t="s">
        <v>23</v>
      </c>
      <c r="C25" s="3">
        <v>295.96519999999998</v>
      </c>
      <c r="F25" t="s">
        <v>39</v>
      </c>
      <c r="G25">
        <f xml:space="preserve"> (C33*LN(G22/C29)) - (C34*LN(C5/C31))</f>
        <v>0.21708602724793558</v>
      </c>
    </row>
    <row r="26" spans="2:7">
      <c r="B26" s="3"/>
      <c r="C26" s="3"/>
      <c r="F26" s="1" t="s">
        <v>172</v>
      </c>
      <c r="G26" s="1">
        <f>-G25</f>
        <v>-0.21708602724793558</v>
      </c>
    </row>
    <row r="27" spans="2:7">
      <c r="B27" s="3" t="s">
        <v>25</v>
      </c>
      <c r="C27" s="3">
        <v>80</v>
      </c>
    </row>
    <row r="28" spans="2:7">
      <c r="B28" s="3"/>
      <c r="C28" s="3"/>
      <c r="F28" s="1" t="s">
        <v>173</v>
      </c>
      <c r="G28" s="1">
        <f xml:space="preserve"> (G9*(C25-G20)) - (C35*G9*(G26))</f>
        <v>-74.282928470083974</v>
      </c>
    </row>
    <row r="29" spans="2:7">
      <c r="B29" s="3" t="s">
        <v>33</v>
      </c>
      <c r="C29" s="3">
        <v>294.2</v>
      </c>
    </row>
    <row r="30" spans="2:7">
      <c r="B30" s="3"/>
      <c r="C30" s="3"/>
      <c r="F30" s="1" t="s">
        <v>47</v>
      </c>
      <c r="G30" s="1">
        <f xml:space="preserve"> C27+G28</f>
        <v>5.7170715299160264</v>
      </c>
    </row>
    <row r="31" spans="2:7">
      <c r="B31" s="3" t="s">
        <v>35</v>
      </c>
      <c r="C31" s="3">
        <v>1</v>
      </c>
    </row>
    <row r="32" spans="2:7">
      <c r="B32" s="3" t="s">
        <v>36</v>
      </c>
      <c r="C32" s="3">
        <v>50</v>
      </c>
    </row>
    <row r="33" spans="2:7">
      <c r="B33" s="3" t="s">
        <v>37</v>
      </c>
      <c r="C33" s="3">
        <v>1.127</v>
      </c>
    </row>
    <row r="34" spans="2:7">
      <c r="B34" s="3" t="s">
        <v>38</v>
      </c>
      <c r="C34" s="3">
        <v>0.28699999999999998</v>
      </c>
    </row>
    <row r="35" spans="2:7">
      <c r="B35" s="3" t="s">
        <v>43</v>
      </c>
      <c r="C35" s="3">
        <v>293</v>
      </c>
    </row>
    <row r="37" spans="2:7">
      <c r="B37" s="7" t="s">
        <v>174</v>
      </c>
      <c r="C37" s="7"/>
      <c r="D37" s="7"/>
    </row>
    <row r="38" spans="2:7">
      <c r="B38" s="7"/>
      <c r="C38" s="7"/>
      <c r="D38" s="7"/>
    </row>
    <row r="40" spans="2:7">
      <c r="B40" s="1" t="s">
        <v>54</v>
      </c>
    </row>
    <row r="41" spans="2:7">
      <c r="B41" s="3" t="s">
        <v>56</v>
      </c>
      <c r="C41" s="3">
        <v>40</v>
      </c>
    </row>
    <row r="42" spans="2:7">
      <c r="B42" s="3"/>
      <c r="C42" s="3"/>
      <c r="F42" s="1" t="s">
        <v>175</v>
      </c>
      <c r="G42" s="1">
        <f xml:space="preserve"> (G9*(G20-C47)) / (4.2* (C53-C51))</f>
        <v>0.11229870893886058</v>
      </c>
    </row>
    <row r="43" spans="2:7">
      <c r="B43" s="3" t="s">
        <v>58</v>
      </c>
      <c r="C43" s="3">
        <v>40</v>
      </c>
    </row>
    <row r="44" spans="2:7">
      <c r="B44" s="3" t="s">
        <v>59</v>
      </c>
      <c r="C44" s="3">
        <v>773</v>
      </c>
      <c r="F44" t="s">
        <v>176</v>
      </c>
      <c r="G44">
        <f xml:space="preserve"> C48*LN(C44/G22)</f>
        <v>-0.34770047776266583</v>
      </c>
    </row>
    <row r="45" spans="2:7">
      <c r="B45" s="3" t="s">
        <v>137</v>
      </c>
      <c r="C45" s="3">
        <v>8.8361894258644783E-2</v>
      </c>
      <c r="F45" t="s">
        <v>177</v>
      </c>
      <c r="G45">
        <f xml:space="preserve"> 4.2 * LN(C53/C51)</f>
        <v>0.78244088124816347</v>
      </c>
    </row>
    <row r="46" spans="2:7">
      <c r="B46" s="3" t="s">
        <v>41</v>
      </c>
      <c r="C46" s="3">
        <v>1201.3328437246964</v>
      </c>
    </row>
    <row r="47" spans="2:7">
      <c r="B47" s="3" t="s">
        <v>42</v>
      </c>
      <c r="C47" s="3">
        <v>871.17</v>
      </c>
      <c r="F47" s="5" t="s">
        <v>178</v>
      </c>
      <c r="G47" s="1">
        <f xml:space="preserve"> (C55*G9*(G44)) + C55*G42*(G45)</f>
        <v>16.588190658895861</v>
      </c>
    </row>
    <row r="48" spans="2:7">
      <c r="B48" s="3" t="s">
        <v>37</v>
      </c>
      <c r="C48" s="3">
        <v>1.127</v>
      </c>
    </row>
    <row r="49" spans="2:7">
      <c r="B49" s="1" t="s">
        <v>55</v>
      </c>
      <c r="F49" s="1" t="s">
        <v>173</v>
      </c>
      <c r="G49" s="1">
        <f>G47</f>
        <v>16.588190658895861</v>
      </c>
    </row>
    <row r="50" spans="2:7">
      <c r="B50" s="3" t="s">
        <v>60</v>
      </c>
      <c r="C50" s="3">
        <v>1</v>
      </c>
    </row>
    <row r="51" spans="2:7">
      <c r="B51" s="3" t="s">
        <v>61</v>
      </c>
      <c r="C51" s="3">
        <v>293</v>
      </c>
      <c r="F51" t="s">
        <v>119</v>
      </c>
      <c r="G51">
        <f xml:space="preserve"> G49 * 14*3600</f>
        <v>836044.80920835142</v>
      </c>
    </row>
    <row r="52" spans="2:7">
      <c r="B52" s="3" t="s">
        <v>62</v>
      </c>
      <c r="C52" s="3">
        <v>1</v>
      </c>
    </row>
    <row r="53" spans="2:7">
      <c r="B53" s="3" t="s">
        <v>63</v>
      </c>
      <c r="C53" s="3">
        <v>353</v>
      </c>
      <c r="F53" s="1" t="s">
        <v>179</v>
      </c>
      <c r="G53" s="1">
        <f xml:space="preserve"> (G51/(4.2*(353-293)))</f>
        <v>3317.6381317791725</v>
      </c>
    </row>
    <row r="54" spans="2:7">
      <c r="B54" s="3"/>
      <c r="C54" s="3"/>
    </row>
    <row r="55" spans="2:7">
      <c r="B55" s="3" t="s">
        <v>70</v>
      </c>
      <c r="C55" s="3">
        <v>293</v>
      </c>
    </row>
    <row r="59" spans="2:7">
      <c r="B59" s="7" t="s">
        <v>180</v>
      </c>
      <c r="C59" s="7"/>
      <c r="D59" s="7"/>
    </row>
    <row r="60" spans="2:7">
      <c r="B60" s="7"/>
      <c r="C60" s="7"/>
      <c r="D60" s="7"/>
    </row>
    <row r="62" spans="2:7">
      <c r="B62" t="s">
        <v>74</v>
      </c>
      <c r="C62">
        <v>773</v>
      </c>
      <c r="F62" s="1" t="s">
        <v>47</v>
      </c>
      <c r="G62">
        <f>C77-C75</f>
        <v>27.294234417002713</v>
      </c>
    </row>
    <row r="63" spans="2:7">
      <c r="B63" t="s">
        <v>75</v>
      </c>
      <c r="C63">
        <v>50</v>
      </c>
    </row>
    <row r="64" spans="2:7">
      <c r="B64" t="s">
        <v>76</v>
      </c>
      <c r="C64">
        <v>1.1000000000000001</v>
      </c>
    </row>
    <row r="65" spans="2:3">
      <c r="B65" t="s">
        <v>77</v>
      </c>
      <c r="C65">
        <v>1.4</v>
      </c>
    </row>
    <row r="67" spans="2:3">
      <c r="B67" t="s">
        <v>79</v>
      </c>
      <c r="C67">
        <f>(C65-1)/C65</f>
        <v>0.28571428571428564</v>
      </c>
    </row>
    <row r="69" spans="2:3">
      <c r="C69" s="1"/>
    </row>
    <row r="71" spans="2:3">
      <c r="B71" t="s">
        <v>80</v>
      </c>
      <c r="C71">
        <v>259.76819349035202</v>
      </c>
    </row>
    <row r="73" spans="2:3">
      <c r="B73" s="1" t="s">
        <v>82</v>
      </c>
      <c r="C73" s="1">
        <v>336.75296446679999</v>
      </c>
    </row>
    <row r="75" spans="2:3">
      <c r="B75" t="s">
        <v>181</v>
      </c>
      <c r="C75">
        <f>G11*1.127*(C62-C73)</f>
        <v>154.66732836301355</v>
      </c>
    </row>
    <row r="77" spans="2:3">
      <c r="B77" t="s">
        <v>182</v>
      </c>
      <c r="C77">
        <f xml:space="preserve"> G11* 1.127*(C62-C71)</f>
        <v>181.96156278001627</v>
      </c>
    </row>
    <row r="81" spans="2:6">
      <c r="B81" s="7" t="s">
        <v>183</v>
      </c>
      <c r="C81" s="7"/>
    </row>
    <row r="82" spans="2:6">
      <c r="B82" s="7"/>
      <c r="C82" s="7"/>
    </row>
    <row r="84" spans="2:6">
      <c r="B84" t="s">
        <v>119</v>
      </c>
      <c r="C84">
        <f>G51</f>
        <v>836044.80920835142</v>
      </c>
      <c r="E84" t="s">
        <v>184</v>
      </c>
      <c r="F84">
        <f>C75</f>
        <v>154.66732836301355</v>
      </c>
    </row>
    <row r="86" spans="2:6">
      <c r="B86" t="s">
        <v>25</v>
      </c>
      <c r="C86">
        <v>80</v>
      </c>
      <c r="E86" t="s">
        <v>185</v>
      </c>
      <c r="F86">
        <f>F84*4*3600</f>
        <v>2227209.528427395</v>
      </c>
    </row>
    <row r="87" spans="2:6">
      <c r="B87" t="s">
        <v>186</v>
      </c>
      <c r="C87">
        <f>80*14*3600</f>
        <v>4032000</v>
      </c>
    </row>
    <row r="89" spans="2:6">
      <c r="B89" t="s">
        <v>187</v>
      </c>
      <c r="C89" s="1">
        <f xml:space="preserve"> (F86+C84)/C87</f>
        <v>0.75973569881838943</v>
      </c>
    </row>
    <row r="91" spans="2:6">
      <c r="B91" t="s">
        <v>195</v>
      </c>
    </row>
    <row r="93" spans="2:6">
      <c r="B93" t="s">
        <v>196</v>
      </c>
      <c r="C93" t="s">
        <v>197</v>
      </c>
    </row>
    <row r="94" spans="2:6">
      <c r="B94" t="s">
        <v>198</v>
      </c>
    </row>
  </sheetData>
  <mergeCells count="5">
    <mergeCell ref="A2:D3"/>
    <mergeCell ref="A15:C16"/>
    <mergeCell ref="B37:D38"/>
    <mergeCell ref="B59:D60"/>
    <mergeCell ref="B81:C8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acivity 1 new</vt:lpstr>
      <vt:lpstr> P,max vs parameter </vt:lpstr>
      <vt:lpstr>P,vessel,min vs parameters</vt:lpstr>
      <vt:lpstr>Vessel size optimisation</vt:lpstr>
      <vt:lpstr>System Design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VCI RG</dc:creator>
  <cp:lastModifiedBy>VCI RG</cp:lastModifiedBy>
  <dcterms:created xsi:type="dcterms:W3CDTF">2026-03-09T11:53:06Z</dcterms:created>
  <dcterms:modified xsi:type="dcterms:W3CDTF">2026-09-08T04:39:42Z</dcterms:modified>
</cp:coreProperties>
</file>