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CI RG\OneDrive\Desktop\HW uni\sem 2\Thermodynamics\Assignment 1\"/>
    </mc:Choice>
  </mc:AlternateContent>
  <bookViews>
    <workbookView xWindow="0" yWindow="0" windowWidth="17256" windowHeight="6384"/>
  </bookViews>
  <sheets>
    <sheet name="Hot composite curve" sheetId="1" r:id="rId1"/>
    <sheet name="Cold Composite curve" sheetId="2" r:id="rId2"/>
    <sheet name="Composite curve hot and cold" sheetId="3" r:id="rId3"/>
    <sheet name="Violation of composite curve" sheetId="4" r:id="rId4"/>
    <sheet name="Curve after offset (at T= 161.5" sheetId="5" r:id="rId5"/>
    <sheet name="Curve after offset (T = 85)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1" l="1"/>
  <c r="J53" i="6" l="1"/>
  <c r="J15" i="6"/>
  <c r="J17" i="6" s="1"/>
  <c r="J20" i="6" s="1"/>
  <c r="J57" i="5"/>
  <c r="J55" i="5"/>
  <c r="J53" i="5"/>
  <c r="J20" i="5"/>
  <c r="J41" i="5" s="1"/>
  <c r="J17" i="5"/>
  <c r="J15" i="5"/>
  <c r="J32" i="6" l="1"/>
  <c r="J31" i="6"/>
  <c r="J30" i="6"/>
  <c r="J41" i="6"/>
  <c r="J29" i="6"/>
  <c r="J40" i="6"/>
  <c r="J28" i="6"/>
  <c r="J39" i="6"/>
  <c r="J27" i="6"/>
  <c r="J38" i="6"/>
  <c r="J26" i="6"/>
  <c r="J37" i="6"/>
  <c r="J36" i="6"/>
  <c r="J35" i="6"/>
  <c r="J34" i="6"/>
  <c r="J33" i="6"/>
  <c r="J55" i="6"/>
  <c r="J57" i="6" s="1"/>
  <c r="J30" i="5"/>
  <c r="J33" i="5"/>
  <c r="J31" i="5"/>
  <c r="J32" i="5"/>
  <c r="J34" i="5"/>
  <c r="J35" i="5"/>
  <c r="J36" i="5"/>
  <c r="J37" i="5"/>
  <c r="J26" i="5"/>
  <c r="J38" i="5"/>
  <c r="J27" i="5"/>
  <c r="J39" i="5"/>
  <c r="J28" i="5"/>
  <c r="J40" i="5"/>
  <c r="J29" i="5"/>
  <c r="O33" i="2"/>
  <c r="N33" i="2"/>
  <c r="O32" i="2"/>
  <c r="N32" i="2"/>
  <c r="H32" i="2"/>
  <c r="O31" i="2"/>
  <c r="N31" i="2"/>
  <c r="O30" i="2"/>
  <c r="N30" i="2"/>
  <c r="J30" i="2"/>
  <c r="O29" i="2"/>
  <c r="N29" i="2"/>
  <c r="O28" i="2"/>
  <c r="N28" i="2"/>
  <c r="I28" i="2"/>
  <c r="O27" i="2"/>
  <c r="N27" i="2"/>
  <c r="O26" i="2"/>
  <c r="N26" i="2"/>
  <c r="G26" i="2"/>
  <c r="O25" i="2"/>
  <c r="N25" i="2"/>
  <c r="L25" i="2"/>
  <c r="G25" i="2"/>
  <c r="O24" i="2"/>
  <c r="N24" i="2"/>
  <c r="G24" i="2"/>
  <c r="O23" i="2"/>
  <c r="N23" i="2"/>
  <c r="K23" i="2"/>
  <c r="G23" i="2"/>
  <c r="O22" i="2"/>
  <c r="N22" i="2"/>
  <c r="G22" i="2"/>
  <c r="O21" i="2"/>
  <c r="G21" i="2"/>
  <c r="O20" i="2"/>
  <c r="O19" i="2"/>
  <c r="M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19" i="2"/>
  <c r="I7" i="2"/>
  <c r="I8" i="2"/>
  <c r="I9" i="2"/>
  <c r="I10" i="2"/>
  <c r="I11" i="2"/>
  <c r="I12" i="2"/>
  <c r="I13" i="2"/>
  <c r="I6" i="2"/>
  <c r="H24" i="1" l="1"/>
  <c r="Q24" i="1" s="1"/>
  <c r="H23" i="1"/>
  <c r="H22" i="1"/>
  <c r="H21" i="1"/>
  <c r="P21" i="1" s="1"/>
  <c r="H20" i="1"/>
  <c r="P20" i="1" s="1"/>
  <c r="H19" i="1"/>
  <c r="P19" i="1" s="1"/>
  <c r="P18" i="1"/>
  <c r="J18" i="1"/>
  <c r="I18" i="1"/>
  <c r="H18" i="1"/>
  <c r="H17" i="1"/>
  <c r="N17" i="1" s="1"/>
  <c r="P16" i="1"/>
  <c r="N16" i="1"/>
  <c r="K16" i="1"/>
  <c r="J16" i="1"/>
  <c r="I16" i="1"/>
  <c r="H16" i="1"/>
  <c r="H15" i="1"/>
  <c r="O21" i="1" l="1"/>
  <c r="I19" i="1"/>
  <c r="I20" i="1"/>
  <c r="J17" i="1"/>
  <c r="P17" i="1"/>
  <c r="O20" i="1"/>
  <c r="I17" i="1"/>
  <c r="H14" i="1"/>
  <c r="P13" i="1"/>
  <c r="N13" i="1"/>
  <c r="M13" i="1"/>
  <c r="H13" i="1"/>
  <c r="L13" i="1" s="1"/>
  <c r="H12" i="1"/>
  <c r="P12" i="1" s="1"/>
  <c r="H11" i="1"/>
  <c r="N11" i="1" s="1"/>
  <c r="H10" i="1"/>
  <c r="N10" i="1" s="1"/>
  <c r="I9" i="1"/>
  <c r="H9" i="1"/>
  <c r="N9" i="1" s="1"/>
  <c r="R9" i="1" s="1"/>
  <c r="H8" i="1"/>
  <c r="N8" i="1" s="1"/>
  <c r="I10" i="1" l="1"/>
  <c r="I12" i="1"/>
  <c r="J10" i="1"/>
  <c r="J12" i="1"/>
  <c r="L12" i="1"/>
  <c r="P14" i="1"/>
  <c r="N14" i="1"/>
  <c r="J14" i="1"/>
  <c r="L14" i="1"/>
  <c r="I14" i="1"/>
  <c r="N12" i="1"/>
  <c r="I11" i="1"/>
  <c r="J11" i="1"/>
  <c r="I13" i="1"/>
  <c r="L11" i="1"/>
  <c r="J13" i="1"/>
  <c r="R10" i="1" l="1"/>
  <c r="R11" i="1" s="1"/>
  <c r="R12" i="1" s="1"/>
  <c r="R13" i="1" s="1"/>
  <c r="R14" i="1" s="1"/>
  <c r="R15" i="1"/>
  <c r="R16" i="1"/>
  <c r="R17" i="1" s="1"/>
  <c r="R18" i="1" s="1"/>
  <c r="R19" i="1" s="1"/>
  <c r="R20" i="1" s="1"/>
  <c r="R21" i="1" s="1"/>
  <c r="R23" i="1" l="1"/>
  <c r="R22" i="1"/>
</calcChain>
</file>

<file path=xl/sharedStrings.xml><?xml version="1.0" encoding="utf-8"?>
<sst xmlns="http://schemas.openxmlformats.org/spreadsheetml/2006/main" count="125" uniqueCount="65">
  <si>
    <t xml:space="preserve">H1, kW </t>
  </si>
  <si>
    <t>H2,kW</t>
  </si>
  <si>
    <t>Temperature interval ©</t>
  </si>
  <si>
    <t xml:space="preserve">H3, kW </t>
  </si>
  <si>
    <t xml:space="preserve">H4, kW </t>
  </si>
  <si>
    <t xml:space="preserve">H5, kW </t>
  </si>
  <si>
    <t xml:space="preserve">H6, kW </t>
  </si>
  <si>
    <t xml:space="preserve">H7, kW </t>
  </si>
  <si>
    <t xml:space="preserve">H8, kW </t>
  </si>
  <si>
    <t xml:space="preserve">H9, kW </t>
  </si>
  <si>
    <t xml:space="preserve">Delta T </t>
  </si>
  <si>
    <t>Stream Number</t>
  </si>
  <si>
    <t>Type</t>
  </si>
  <si>
    <r>
      <t>t</t>
    </r>
    <r>
      <rPr>
        <b/>
        <vertAlign val="subscript"/>
        <sz val="12"/>
        <rFont val="Arial"/>
        <family val="2"/>
      </rPr>
      <t>i</t>
    </r>
    <r>
      <rPr>
        <b/>
        <sz val="12"/>
        <rFont val="Arial"/>
        <family val="2"/>
      </rPr>
      <t> (°C)</t>
    </r>
  </si>
  <si>
    <r>
      <t>t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>(°C)</t>
    </r>
  </si>
  <si>
    <t>hot</t>
  </si>
  <si>
    <t>m</t>
  </si>
  <si>
    <t>(kg/s)</t>
  </si>
  <si>
    <r>
      <t>c</t>
    </r>
    <r>
      <rPr>
        <b/>
        <vertAlign val="subscript"/>
        <sz val="12"/>
        <rFont val="Arial"/>
        <family val="2"/>
      </rPr>
      <t>p</t>
    </r>
    <r>
      <rPr>
        <b/>
        <sz val="12"/>
        <rFont val="Arial"/>
        <family val="2"/>
      </rPr>
      <t> (kJ/kg°K)</t>
    </r>
  </si>
  <si>
    <t>Capacity (m*Cp)(kW/K)</t>
  </si>
  <si>
    <t>x</t>
  </si>
  <si>
    <t>y</t>
  </si>
  <si>
    <t>Cummulative (Q),kW</t>
  </si>
  <si>
    <t>T</t>
  </si>
  <si>
    <t>Q</t>
  </si>
  <si>
    <t>Coordinates:</t>
  </si>
  <si>
    <t xml:space="preserve"> x (Q)</t>
  </si>
  <si>
    <t>y (T)</t>
  </si>
  <si>
    <t>cold</t>
  </si>
  <si>
    <t xml:space="preserve">H10, kW </t>
  </si>
  <si>
    <t>H11,kW</t>
  </si>
  <si>
    <t xml:space="preserve">H12, kW </t>
  </si>
  <si>
    <t xml:space="preserve">H13, kW </t>
  </si>
  <si>
    <t xml:space="preserve">H14, kW </t>
  </si>
  <si>
    <t xml:space="preserve">H15, kW </t>
  </si>
  <si>
    <t xml:space="preserve">H16, kW </t>
  </si>
  <si>
    <t>Cummulative (Q), kW</t>
  </si>
  <si>
    <t>H17,kW</t>
  </si>
  <si>
    <t>Hot composite curve</t>
  </si>
  <si>
    <t>Cold Composite curve</t>
  </si>
  <si>
    <t>Q (x)</t>
  </si>
  <si>
    <t>T (y)</t>
  </si>
  <si>
    <t>Q_h_total = 20708.81005 kW</t>
  </si>
  <si>
    <t>Q_c_total = 25404.56728 kW</t>
  </si>
  <si>
    <t>Pinch Point coordinate:</t>
  </si>
  <si>
    <t>(18567.74005,173.5 )</t>
  </si>
  <si>
    <t xml:space="preserve">Coordinates of line segment, before offsetting: </t>
  </si>
  <si>
    <t>y = mX + c</t>
  </si>
  <si>
    <t>T = mQ + c</t>
  </si>
  <si>
    <t xml:space="preserve">Slope: </t>
  </si>
  <si>
    <t>x (Q)</t>
  </si>
  <si>
    <t>c</t>
  </si>
  <si>
    <t>intercept: c</t>
  </si>
  <si>
    <t>Q :</t>
  </si>
  <si>
    <t>Cold stream offset:</t>
  </si>
  <si>
    <t>Hot Stream real coordinates:</t>
  </si>
  <si>
    <t>Cold Stream Coordinates:</t>
  </si>
  <si>
    <t>T = 0.01372Q-81.3343</t>
  </si>
  <si>
    <t>For T = 86</t>
  </si>
  <si>
    <t>slope</t>
  </si>
  <si>
    <t> Student Id: H 00515081</t>
  </si>
  <si>
    <t>In this excel sheet calculations for hot stream is done by arranging the stream in ascending order ---&gt; finding delta T ---&gt; m*Cp*delta T for Q ---&gt; and then adding Q to get cummulative Q for hot stream</t>
  </si>
  <si>
    <t>In this excel sheet calculations for cold stream is done by arranging the stream in ascending order ---&gt; finding delta T ---&gt; m*Cp*delta T for Q ---&gt; and then adding Q to get cummulative Q for cold stream</t>
  </si>
  <si>
    <t xml:space="preserve">
Using coordinate (85, 12119.45305) we get graph below: (it satisfies the 12 K pinch point)
And energy saving is maximised
</t>
  </si>
  <si>
    <t xml:space="preserve">Using coordinate (85, 12119.45305) we get graph below: (it satisfies the 12 K pinch point) And energy saving is maximised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</si>
</sst>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bscript"/>
      <sz val="12"/>
      <name val="Arial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5" borderId="0" xfId="0" applyFill="1"/>
    <xf numFmtId="0" fontId="5" fillId="4" borderId="0" xfId="2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3">
    <cellStyle name="Good" xfId="2" builtinId="26"/>
    <cellStyle name="Neutral" xfId="1" builtinId="2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Hot</a:t>
            </a:r>
            <a:r>
              <a:rPr lang="en-US" baseline="0"/>
              <a:t> Composite curve </a:t>
            </a:r>
          </a:p>
          <a:p>
            <a:pPr>
              <a:defRPr/>
            </a:pPr>
            <a:r>
              <a:rPr lang="en-US" baseline="0"/>
              <a:t>x axis: Q</a:t>
            </a:r>
          </a:p>
          <a:p>
            <a:pPr>
              <a:defRPr/>
            </a:pPr>
            <a:r>
              <a:rPr lang="en-US" baseline="0"/>
              <a:t>y axis : T</a:t>
            </a:r>
            <a:endParaRPr lang="en-US"/>
          </a:p>
        </c:rich>
      </c:tx>
      <c:layout>
        <c:manualLayout>
          <c:xMode val="edge"/>
          <c:yMode val="edge"/>
          <c:x val="0.45968108046390332"/>
          <c:y val="9.68788606130601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521625676459134E-2"/>
          <c:y val="6.7768561150341577E-2"/>
          <c:w val="0.94653218922578974"/>
          <c:h val="0.88356667565394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'Hot composite curve'!$H$44</c:f>
              <c:strCache>
                <c:ptCount val="1"/>
                <c:pt idx="0">
                  <c:v>y 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'Hot composite curve'!$G$45:$G$60</c:f>
              <c:numCache>
                <c:formatCode>General</c:formatCode>
                <c:ptCount val="16"/>
                <c:pt idx="0">
                  <c:v>0</c:v>
                </c:pt>
                <c:pt idx="1">
                  <c:v>3.5882999999999998</c:v>
                </c:pt>
                <c:pt idx="2">
                  <c:v>28.929300000000001</c:v>
                </c:pt>
                <c:pt idx="3">
                  <c:v>627.97424999999998</c:v>
                </c:pt>
                <c:pt idx="4">
                  <c:v>857.86411999999996</c:v>
                </c:pt>
                <c:pt idx="5">
                  <c:v>1526.40263</c:v>
                </c:pt>
                <c:pt idx="6">
                  <c:v>5524.9267099999997</c:v>
                </c:pt>
                <c:pt idx="7">
                  <c:v>6004.1445800000001</c:v>
                </c:pt>
                <c:pt idx="8">
                  <c:v>14673.2474</c:v>
                </c:pt>
                <c:pt idx="9">
                  <c:v>14791.91165</c:v>
                </c:pt>
                <c:pt idx="10">
                  <c:v>16176.012650000001</c:v>
                </c:pt>
                <c:pt idx="11">
                  <c:v>16316.953450000001</c:v>
                </c:pt>
                <c:pt idx="12">
                  <c:v>18254.43345</c:v>
                </c:pt>
                <c:pt idx="13">
                  <c:v>18567.74005</c:v>
                </c:pt>
                <c:pt idx="14">
                  <c:v>18567.74005</c:v>
                </c:pt>
                <c:pt idx="15">
                  <c:v>20708.8</c:v>
                </c:pt>
              </c:numCache>
            </c:numRef>
          </c:xVal>
          <c:yVal>
            <c:numRef>
              <c:f>'Hot composite curve'!$H$45:$H$60</c:f>
              <c:numCache>
                <c:formatCode>General</c:formatCode>
                <c:ptCount val="16"/>
                <c:pt idx="0">
                  <c:v>27.8</c:v>
                </c:pt>
                <c:pt idx="1">
                  <c:v>30.5</c:v>
                </c:pt>
                <c:pt idx="2">
                  <c:v>31.5</c:v>
                </c:pt>
                <c:pt idx="3">
                  <c:v>45</c:v>
                </c:pt>
                <c:pt idx="4">
                  <c:v>49.1</c:v>
                </c:pt>
                <c:pt idx="5">
                  <c:v>60.4</c:v>
                </c:pt>
                <c:pt idx="6">
                  <c:v>62.8</c:v>
                </c:pt>
                <c:pt idx="7">
                  <c:v>70.900000000000006</c:v>
                </c:pt>
                <c:pt idx="8">
                  <c:v>111.5</c:v>
                </c:pt>
                <c:pt idx="9">
                  <c:v>114</c:v>
                </c:pt>
                <c:pt idx="10">
                  <c:v>144</c:v>
                </c:pt>
                <c:pt idx="11">
                  <c:v>149.19999999999999</c:v>
                </c:pt>
                <c:pt idx="12">
                  <c:v>169.2</c:v>
                </c:pt>
                <c:pt idx="13">
                  <c:v>173.5</c:v>
                </c:pt>
                <c:pt idx="14">
                  <c:v>279.5</c:v>
                </c:pt>
                <c:pt idx="15">
                  <c:v>440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113200"/>
        <c:axId val="278115552"/>
      </c:scatterChart>
      <c:valAx>
        <c:axId val="27811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5552"/>
        <c:crosses val="autoZero"/>
        <c:crossBetween val="midCat"/>
      </c:valAx>
      <c:valAx>
        <c:axId val="2781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Cold</a:t>
            </a:r>
            <a:r>
              <a:rPr lang="en-US" baseline="0"/>
              <a:t> Composite curve</a:t>
            </a:r>
          </a:p>
          <a:p>
            <a:pPr>
              <a:defRPr/>
            </a:pPr>
            <a:r>
              <a:rPr lang="en-US" sz="1800" b="0" i="0" baseline="0">
                <a:effectLst/>
              </a:rPr>
              <a:t>x axis: Q</a:t>
            </a:r>
            <a:endParaRPr lang="en-GB">
              <a:effectLst/>
            </a:endParaRPr>
          </a:p>
          <a:p>
            <a:pPr>
              <a:defRPr/>
            </a:pPr>
            <a:r>
              <a:rPr lang="en-US" sz="1800" b="0" i="0" baseline="0">
                <a:effectLst/>
              </a:rPr>
              <a:t>y axis : T</a:t>
            </a:r>
            <a:endParaRPr lang="en-GB">
              <a:effectLst/>
            </a:endParaRP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45135108821314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070074927427493E-2"/>
          <c:y val="8.0271647872986407E-2"/>
          <c:w val="0.9122603063618332"/>
          <c:h val="0.846013448607108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'Cold Composite curve'!$H$38:$H$39</c:f>
              <c:strCache>
                <c:ptCount val="2"/>
                <c:pt idx="0">
                  <c:v>T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'Cold Composite curve'!$G$40:$G$55</c:f>
              <c:numCache>
                <c:formatCode>General</c:formatCode>
                <c:ptCount val="16"/>
                <c:pt idx="0">
                  <c:v>0</c:v>
                </c:pt>
                <c:pt idx="1">
                  <c:v>370.78271999999998</c:v>
                </c:pt>
                <c:pt idx="2">
                  <c:v>370.78271999999998</c:v>
                </c:pt>
                <c:pt idx="3">
                  <c:v>970.53369399999997</c:v>
                </c:pt>
                <c:pt idx="4">
                  <c:v>1336.866679</c:v>
                </c:pt>
                <c:pt idx="5">
                  <c:v>2592.839219</c:v>
                </c:pt>
                <c:pt idx="6">
                  <c:v>3236.0192689999999</c:v>
                </c:pt>
                <c:pt idx="7">
                  <c:v>7147.984316</c:v>
                </c:pt>
                <c:pt idx="8">
                  <c:v>7852.6859359999999</c:v>
                </c:pt>
                <c:pt idx="9">
                  <c:v>8201.8778920000004</c:v>
                </c:pt>
                <c:pt idx="10">
                  <c:v>14902.49266</c:v>
                </c:pt>
                <c:pt idx="11">
                  <c:v>15310.090389999999</c:v>
                </c:pt>
                <c:pt idx="12">
                  <c:v>15783.427680000001</c:v>
                </c:pt>
                <c:pt idx="13">
                  <c:v>15941.247530000001</c:v>
                </c:pt>
                <c:pt idx="14">
                  <c:v>25206.981800000001</c:v>
                </c:pt>
                <c:pt idx="15">
                  <c:v>25404.567279999999</c:v>
                </c:pt>
              </c:numCache>
            </c:numRef>
          </c:xVal>
          <c:yVal>
            <c:numRef>
              <c:f>'Cold Composite curve'!$H$40:$H$55</c:f>
              <c:numCache>
                <c:formatCode>General</c:formatCode>
                <c:ptCount val="16"/>
                <c:pt idx="0">
                  <c:v>-28.4</c:v>
                </c:pt>
                <c:pt idx="1">
                  <c:v>20</c:v>
                </c:pt>
                <c:pt idx="2">
                  <c:v>38.4</c:v>
                </c:pt>
                <c:pt idx="3">
                  <c:v>77</c:v>
                </c:pt>
                <c:pt idx="4">
                  <c:v>90.1</c:v>
                </c:pt>
                <c:pt idx="5">
                  <c:v>91.1</c:v>
                </c:pt>
                <c:pt idx="6">
                  <c:v>114.1</c:v>
                </c:pt>
                <c:pt idx="7">
                  <c:v>122.4</c:v>
                </c:pt>
                <c:pt idx="8">
                  <c:v>147.6</c:v>
                </c:pt>
                <c:pt idx="9">
                  <c:v>175.7</c:v>
                </c:pt>
                <c:pt idx="10">
                  <c:v>176.6</c:v>
                </c:pt>
                <c:pt idx="11">
                  <c:v>209.4</c:v>
                </c:pt>
                <c:pt idx="12">
                  <c:v>218</c:v>
                </c:pt>
                <c:pt idx="13">
                  <c:v>230.7</c:v>
                </c:pt>
                <c:pt idx="14">
                  <c:v>234.1</c:v>
                </c:pt>
                <c:pt idx="15">
                  <c:v>250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116728"/>
        <c:axId val="278111240"/>
      </c:scatterChart>
      <c:valAx>
        <c:axId val="278116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1240"/>
        <c:crosses val="autoZero"/>
        <c:crossBetween val="midCat"/>
      </c:valAx>
      <c:valAx>
        <c:axId val="27811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6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/>
                </a:solidFill>
              </a:rPr>
              <a:t>Hot</a:t>
            </a:r>
            <a:r>
              <a:rPr lang="en-GB" baseline="0">
                <a:solidFill>
                  <a:schemeClr val="accent2"/>
                </a:solidFill>
              </a:rPr>
              <a:t> Composite curve </a:t>
            </a:r>
            <a:r>
              <a:rPr lang="en-GB" baseline="0"/>
              <a:t>and </a:t>
            </a:r>
            <a:r>
              <a:rPr lang="en-GB" baseline="0">
                <a:solidFill>
                  <a:schemeClr val="accent1"/>
                </a:solidFill>
              </a:rPr>
              <a:t>Cold composite curve</a:t>
            </a:r>
            <a:endParaRPr lang="en-GB">
              <a:solidFill>
                <a:schemeClr val="accent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44726727858394E-2"/>
          <c:y val="0.11701827687271586"/>
          <c:w val="0.92219808454282348"/>
          <c:h val="0.818463511844217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'Composite curve hot and cold'!$G$6</c:f>
              <c:strCache>
                <c:ptCount val="1"/>
                <c:pt idx="0">
                  <c:v>y 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'Composite curve hot and cold'!$F$7:$F$22</c:f>
              <c:numCache>
                <c:formatCode>General</c:formatCode>
                <c:ptCount val="16"/>
                <c:pt idx="0">
                  <c:v>0</c:v>
                </c:pt>
                <c:pt idx="1">
                  <c:v>3.5882999999999998</c:v>
                </c:pt>
                <c:pt idx="2">
                  <c:v>28.929300000000001</c:v>
                </c:pt>
                <c:pt idx="3">
                  <c:v>627.97424999999998</c:v>
                </c:pt>
                <c:pt idx="4">
                  <c:v>857.86411999999996</c:v>
                </c:pt>
                <c:pt idx="5">
                  <c:v>1526.40263</c:v>
                </c:pt>
                <c:pt idx="6">
                  <c:v>5524.9267099999997</c:v>
                </c:pt>
                <c:pt idx="7">
                  <c:v>6004.1445800000001</c:v>
                </c:pt>
                <c:pt idx="8">
                  <c:v>14673.2474</c:v>
                </c:pt>
                <c:pt idx="9">
                  <c:v>14791.91165</c:v>
                </c:pt>
                <c:pt idx="10">
                  <c:v>16176.012650000001</c:v>
                </c:pt>
                <c:pt idx="11">
                  <c:v>16316.953450000001</c:v>
                </c:pt>
                <c:pt idx="12">
                  <c:v>18254.43345</c:v>
                </c:pt>
                <c:pt idx="13">
                  <c:v>18567.74005</c:v>
                </c:pt>
                <c:pt idx="14">
                  <c:v>18567.74005</c:v>
                </c:pt>
                <c:pt idx="15">
                  <c:v>20708.8</c:v>
                </c:pt>
              </c:numCache>
            </c:numRef>
          </c:xVal>
          <c:yVal>
            <c:numRef>
              <c:f>'Composite curve hot and cold'!$G$7:$G$22</c:f>
              <c:numCache>
                <c:formatCode>General</c:formatCode>
                <c:ptCount val="16"/>
                <c:pt idx="0">
                  <c:v>27.8</c:v>
                </c:pt>
                <c:pt idx="1">
                  <c:v>30.5</c:v>
                </c:pt>
                <c:pt idx="2">
                  <c:v>31.5</c:v>
                </c:pt>
                <c:pt idx="3">
                  <c:v>45</c:v>
                </c:pt>
                <c:pt idx="4">
                  <c:v>49.1</c:v>
                </c:pt>
                <c:pt idx="5">
                  <c:v>60.4</c:v>
                </c:pt>
                <c:pt idx="6">
                  <c:v>62.8</c:v>
                </c:pt>
                <c:pt idx="7">
                  <c:v>70.900000000000006</c:v>
                </c:pt>
                <c:pt idx="8">
                  <c:v>111.5</c:v>
                </c:pt>
                <c:pt idx="9">
                  <c:v>114</c:v>
                </c:pt>
                <c:pt idx="10">
                  <c:v>144</c:v>
                </c:pt>
                <c:pt idx="11">
                  <c:v>149.19999999999999</c:v>
                </c:pt>
                <c:pt idx="12">
                  <c:v>169.2</c:v>
                </c:pt>
                <c:pt idx="13">
                  <c:v>173.5</c:v>
                </c:pt>
                <c:pt idx="14">
                  <c:v>279.5</c:v>
                </c:pt>
                <c:pt idx="15">
                  <c:v>440</c:v>
                </c:pt>
              </c:numCache>
            </c:numRef>
          </c:yVal>
          <c:smooth val="0"/>
        </c:ser>
        <c:ser>
          <c:idx val="1"/>
          <c:order val="1"/>
          <c:tx>
            <c:v>Cold Composite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'Composite curve hot and cold'!$M$7:$M$22</c:f>
              <c:numCache>
                <c:formatCode>General</c:formatCode>
                <c:ptCount val="16"/>
                <c:pt idx="0">
                  <c:v>0</c:v>
                </c:pt>
                <c:pt idx="1">
                  <c:v>370.78271999999998</c:v>
                </c:pt>
                <c:pt idx="2">
                  <c:v>370.78271999999998</c:v>
                </c:pt>
                <c:pt idx="3">
                  <c:v>970.53369399999997</c:v>
                </c:pt>
                <c:pt idx="4">
                  <c:v>1336.866679</c:v>
                </c:pt>
                <c:pt idx="5">
                  <c:v>2592.839219</c:v>
                </c:pt>
                <c:pt idx="6">
                  <c:v>3236.0192689999999</c:v>
                </c:pt>
                <c:pt idx="7">
                  <c:v>7147.984316</c:v>
                </c:pt>
                <c:pt idx="8">
                  <c:v>7852.6859359999999</c:v>
                </c:pt>
                <c:pt idx="9">
                  <c:v>8201.8778920000004</c:v>
                </c:pt>
                <c:pt idx="10">
                  <c:v>14902.49266</c:v>
                </c:pt>
                <c:pt idx="11">
                  <c:v>15310.090389999999</c:v>
                </c:pt>
                <c:pt idx="12">
                  <c:v>15783.427680000001</c:v>
                </c:pt>
                <c:pt idx="13">
                  <c:v>15941.247530000001</c:v>
                </c:pt>
                <c:pt idx="14">
                  <c:v>25206.981800000001</c:v>
                </c:pt>
                <c:pt idx="15">
                  <c:v>25404.567279999999</c:v>
                </c:pt>
              </c:numCache>
            </c:numRef>
          </c:xVal>
          <c:yVal>
            <c:numRef>
              <c:f>'Composite curve hot and cold'!$N$7:$N$22</c:f>
              <c:numCache>
                <c:formatCode>General</c:formatCode>
                <c:ptCount val="16"/>
                <c:pt idx="0">
                  <c:v>-28.4</c:v>
                </c:pt>
                <c:pt idx="1">
                  <c:v>20</c:v>
                </c:pt>
                <c:pt idx="2">
                  <c:v>38.4</c:v>
                </c:pt>
                <c:pt idx="3">
                  <c:v>77</c:v>
                </c:pt>
                <c:pt idx="4">
                  <c:v>90.1</c:v>
                </c:pt>
                <c:pt idx="5">
                  <c:v>91.1</c:v>
                </c:pt>
                <c:pt idx="6">
                  <c:v>114.1</c:v>
                </c:pt>
                <c:pt idx="7">
                  <c:v>122.4</c:v>
                </c:pt>
                <c:pt idx="8">
                  <c:v>147.6</c:v>
                </c:pt>
                <c:pt idx="9">
                  <c:v>175.7</c:v>
                </c:pt>
                <c:pt idx="10">
                  <c:v>176.6</c:v>
                </c:pt>
                <c:pt idx="11">
                  <c:v>209.4</c:v>
                </c:pt>
                <c:pt idx="12">
                  <c:v>218</c:v>
                </c:pt>
                <c:pt idx="13">
                  <c:v>230.7</c:v>
                </c:pt>
                <c:pt idx="14">
                  <c:v>234.1</c:v>
                </c:pt>
                <c:pt idx="15">
                  <c:v>250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114376"/>
        <c:axId val="278113592"/>
      </c:scatterChart>
      <c:valAx>
        <c:axId val="278114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Cummulative</a:t>
                </a:r>
                <a:r>
                  <a:rPr lang="en-GB" baseline="0"/>
                  <a:t> Q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3592"/>
        <c:crosses val="autoZero"/>
        <c:crossBetween val="midCat"/>
      </c:valAx>
      <c:valAx>
        <c:axId val="27811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4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Composite</a:t>
            </a:r>
            <a:r>
              <a:rPr lang="en-GB" baseline="0"/>
              <a:t> Curve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698803331210886E-2"/>
          <c:y val="7.835649441580568E-2"/>
          <c:w val="0.8058346043824216"/>
          <c:h val="0.8721180793792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'Composite curve hot and cold'!$G$6</c:f>
              <c:strCache>
                <c:ptCount val="1"/>
                <c:pt idx="0">
                  <c:v>y (T)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15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'Composite curve hot and cold'!$F$7:$F$22</c:f>
              <c:numCache>
                <c:formatCode>General</c:formatCode>
                <c:ptCount val="16"/>
                <c:pt idx="0">
                  <c:v>0</c:v>
                </c:pt>
                <c:pt idx="1">
                  <c:v>3.5882999999999998</c:v>
                </c:pt>
                <c:pt idx="2">
                  <c:v>28.929300000000001</c:v>
                </c:pt>
                <c:pt idx="3">
                  <c:v>627.97424999999998</c:v>
                </c:pt>
                <c:pt idx="4">
                  <c:v>857.86411999999996</c:v>
                </c:pt>
                <c:pt idx="5">
                  <c:v>1526.40263</c:v>
                </c:pt>
                <c:pt idx="6">
                  <c:v>5524.9267099999997</c:v>
                </c:pt>
                <c:pt idx="7">
                  <c:v>6004.1445800000001</c:v>
                </c:pt>
                <c:pt idx="8">
                  <c:v>14673.2474</c:v>
                </c:pt>
                <c:pt idx="9">
                  <c:v>14791.91165</c:v>
                </c:pt>
                <c:pt idx="10">
                  <c:v>16176.012650000001</c:v>
                </c:pt>
                <c:pt idx="11">
                  <c:v>16316.953450000001</c:v>
                </c:pt>
                <c:pt idx="12">
                  <c:v>18254.43345</c:v>
                </c:pt>
                <c:pt idx="13">
                  <c:v>18567.74005</c:v>
                </c:pt>
                <c:pt idx="14">
                  <c:v>18567.74005</c:v>
                </c:pt>
                <c:pt idx="15">
                  <c:v>20708.8</c:v>
                </c:pt>
              </c:numCache>
            </c:numRef>
          </c:xVal>
          <c:yVal>
            <c:numRef>
              <c:f>'Composite curve hot and cold'!$G$7:$G$22</c:f>
              <c:numCache>
                <c:formatCode>General</c:formatCode>
                <c:ptCount val="16"/>
                <c:pt idx="0">
                  <c:v>27.8</c:v>
                </c:pt>
                <c:pt idx="1">
                  <c:v>30.5</c:v>
                </c:pt>
                <c:pt idx="2">
                  <c:v>31.5</c:v>
                </c:pt>
                <c:pt idx="3">
                  <c:v>45</c:v>
                </c:pt>
                <c:pt idx="4">
                  <c:v>49.1</c:v>
                </c:pt>
                <c:pt idx="5">
                  <c:v>60.4</c:v>
                </c:pt>
                <c:pt idx="6">
                  <c:v>62.8</c:v>
                </c:pt>
                <c:pt idx="7">
                  <c:v>70.900000000000006</c:v>
                </c:pt>
                <c:pt idx="8">
                  <c:v>111.5</c:v>
                </c:pt>
                <c:pt idx="9">
                  <c:v>114</c:v>
                </c:pt>
                <c:pt idx="10">
                  <c:v>144</c:v>
                </c:pt>
                <c:pt idx="11">
                  <c:v>149.19999999999999</c:v>
                </c:pt>
                <c:pt idx="12">
                  <c:v>169.2</c:v>
                </c:pt>
                <c:pt idx="13">
                  <c:v>173.5</c:v>
                </c:pt>
                <c:pt idx="14">
                  <c:v>279.5</c:v>
                </c:pt>
                <c:pt idx="15">
                  <c:v>440</c:v>
                </c:pt>
              </c:numCache>
            </c:numRef>
          </c:yVal>
          <c:smooth val="0"/>
        </c:ser>
        <c:ser>
          <c:idx val="1"/>
          <c:order val="1"/>
          <c:tx>
            <c:v>Cold Composite curve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15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'Composite curve hot and cold'!$M$7:$M$22</c:f>
              <c:numCache>
                <c:formatCode>General</c:formatCode>
                <c:ptCount val="16"/>
                <c:pt idx="0">
                  <c:v>0</c:v>
                </c:pt>
                <c:pt idx="1">
                  <c:v>370.78271999999998</c:v>
                </c:pt>
                <c:pt idx="2">
                  <c:v>370.78271999999998</c:v>
                </c:pt>
                <c:pt idx="3">
                  <c:v>970.53369399999997</c:v>
                </c:pt>
                <c:pt idx="4">
                  <c:v>1336.866679</c:v>
                </c:pt>
                <c:pt idx="5">
                  <c:v>2592.839219</c:v>
                </c:pt>
                <c:pt idx="6">
                  <c:v>3236.0192689999999</c:v>
                </c:pt>
                <c:pt idx="7">
                  <c:v>7147.984316</c:v>
                </c:pt>
                <c:pt idx="8">
                  <c:v>7852.6859359999999</c:v>
                </c:pt>
                <c:pt idx="9">
                  <c:v>8201.8778920000004</c:v>
                </c:pt>
                <c:pt idx="10">
                  <c:v>14902.49266</c:v>
                </c:pt>
                <c:pt idx="11">
                  <c:v>15310.090389999999</c:v>
                </c:pt>
                <c:pt idx="12">
                  <c:v>15783.427680000001</c:v>
                </c:pt>
                <c:pt idx="13">
                  <c:v>15941.247530000001</c:v>
                </c:pt>
                <c:pt idx="14">
                  <c:v>25206.981800000001</c:v>
                </c:pt>
                <c:pt idx="15">
                  <c:v>25404.567279999999</c:v>
                </c:pt>
              </c:numCache>
            </c:numRef>
          </c:xVal>
          <c:yVal>
            <c:numRef>
              <c:f>'Composite curve hot and cold'!$N$7:$N$22</c:f>
              <c:numCache>
                <c:formatCode>General</c:formatCode>
                <c:ptCount val="16"/>
                <c:pt idx="0">
                  <c:v>-28.4</c:v>
                </c:pt>
                <c:pt idx="1">
                  <c:v>20</c:v>
                </c:pt>
                <c:pt idx="2">
                  <c:v>38.4</c:v>
                </c:pt>
                <c:pt idx="3">
                  <c:v>77</c:v>
                </c:pt>
                <c:pt idx="4">
                  <c:v>90.1</c:v>
                </c:pt>
                <c:pt idx="5">
                  <c:v>91.1</c:v>
                </c:pt>
                <c:pt idx="6">
                  <c:v>114.1</c:v>
                </c:pt>
                <c:pt idx="7">
                  <c:v>122.4</c:v>
                </c:pt>
                <c:pt idx="8">
                  <c:v>147.6</c:v>
                </c:pt>
                <c:pt idx="9">
                  <c:v>175.7</c:v>
                </c:pt>
                <c:pt idx="10">
                  <c:v>176.6</c:v>
                </c:pt>
                <c:pt idx="11">
                  <c:v>209.4</c:v>
                </c:pt>
                <c:pt idx="12">
                  <c:v>218</c:v>
                </c:pt>
                <c:pt idx="13">
                  <c:v>230.7</c:v>
                </c:pt>
                <c:pt idx="14">
                  <c:v>234.1</c:v>
                </c:pt>
                <c:pt idx="15">
                  <c:v>250</c:v>
                </c:pt>
              </c:numCache>
            </c:numRef>
          </c:yVal>
          <c:smooth val="0"/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78115944"/>
        <c:axId val="278113984"/>
      </c:scatterChart>
      <c:valAx>
        <c:axId val="278115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Cummulative</a:t>
                </a:r>
                <a:r>
                  <a:rPr lang="en-GB" baseline="0"/>
                  <a:t> heat (Q)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3984"/>
        <c:crosses val="autoZero"/>
        <c:crossBetween val="midCat"/>
      </c:valAx>
      <c:valAx>
        <c:axId val="2781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5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</a:t>
            </a:r>
            <a:r>
              <a:rPr lang="en-GB" baseline="0"/>
              <a:t> after Process Integration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20242822752342E-2"/>
          <c:y val="5.3188200388520714E-2"/>
          <c:w val="0.96715044337498846"/>
          <c:h val="0.931037461399731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 after offset (at T= 161.5'!$J$26:$J$41</c:f>
              <c:numCache>
                <c:formatCode>General</c:formatCode>
                <c:ptCount val="16"/>
                <c:pt idx="0">
                  <c:v>17693.396050000003</c:v>
                </c:pt>
                <c:pt idx="1">
                  <c:v>18064.178770000002</c:v>
                </c:pt>
                <c:pt idx="2">
                  <c:v>18064.178770000002</c:v>
                </c:pt>
                <c:pt idx="3">
                  <c:v>18663.929744000005</c:v>
                </c:pt>
                <c:pt idx="4">
                  <c:v>19030.262729000002</c:v>
                </c:pt>
                <c:pt idx="5">
                  <c:v>20286.235269000004</c:v>
                </c:pt>
                <c:pt idx="6">
                  <c:v>20929.415319000003</c:v>
                </c:pt>
                <c:pt idx="7">
                  <c:v>24841.380366000005</c:v>
                </c:pt>
                <c:pt idx="8">
                  <c:v>25546.081986000005</c:v>
                </c:pt>
                <c:pt idx="9">
                  <c:v>25895.273942000003</c:v>
                </c:pt>
                <c:pt idx="10">
                  <c:v>32595.888710000003</c:v>
                </c:pt>
                <c:pt idx="11">
                  <c:v>33003.486440000001</c:v>
                </c:pt>
                <c:pt idx="12">
                  <c:v>33476.823730000004</c:v>
                </c:pt>
                <c:pt idx="13">
                  <c:v>33634.643580000004</c:v>
                </c:pt>
                <c:pt idx="14">
                  <c:v>42900.377850000004</c:v>
                </c:pt>
                <c:pt idx="15">
                  <c:v>43097.963329999999</c:v>
                </c:pt>
              </c:numCache>
            </c:numRef>
          </c:xVal>
          <c:yVal>
            <c:numRef>
              <c:f>'Curve after offset (at T= 161.5'!$K$26:$K$41</c:f>
              <c:numCache>
                <c:formatCode>General</c:formatCode>
                <c:ptCount val="16"/>
                <c:pt idx="0">
                  <c:v>-28.4</c:v>
                </c:pt>
                <c:pt idx="1">
                  <c:v>20</c:v>
                </c:pt>
                <c:pt idx="2">
                  <c:v>38.4</c:v>
                </c:pt>
                <c:pt idx="3">
                  <c:v>77</c:v>
                </c:pt>
                <c:pt idx="4">
                  <c:v>90.1</c:v>
                </c:pt>
                <c:pt idx="5">
                  <c:v>91.1</c:v>
                </c:pt>
                <c:pt idx="6">
                  <c:v>114.1</c:v>
                </c:pt>
                <c:pt idx="7">
                  <c:v>122.4</c:v>
                </c:pt>
                <c:pt idx="8">
                  <c:v>147.6</c:v>
                </c:pt>
                <c:pt idx="9">
                  <c:v>175.7</c:v>
                </c:pt>
                <c:pt idx="10">
                  <c:v>176.6</c:v>
                </c:pt>
                <c:pt idx="11">
                  <c:v>209.4</c:v>
                </c:pt>
                <c:pt idx="12">
                  <c:v>218</c:v>
                </c:pt>
                <c:pt idx="13">
                  <c:v>230.7</c:v>
                </c:pt>
                <c:pt idx="14">
                  <c:v>234.1</c:v>
                </c:pt>
                <c:pt idx="15">
                  <c:v>250</c:v>
                </c:pt>
              </c:numCache>
            </c:numRef>
          </c:yVal>
          <c:smooth val="0"/>
        </c:ser>
        <c:ser>
          <c:idx val="1"/>
          <c:order val="1"/>
          <c:tx>
            <c:v>Hot gas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'Curve after offset (at T= 161.5'!$M$26:$M$41</c:f>
              <c:numCache>
                <c:formatCode>General</c:formatCode>
                <c:ptCount val="16"/>
                <c:pt idx="0">
                  <c:v>0</c:v>
                </c:pt>
                <c:pt idx="1">
                  <c:v>3.5882999999999998</c:v>
                </c:pt>
                <c:pt idx="2">
                  <c:v>28.929300000000001</c:v>
                </c:pt>
                <c:pt idx="3">
                  <c:v>627.97424999999998</c:v>
                </c:pt>
                <c:pt idx="4">
                  <c:v>857.86411999999996</c:v>
                </c:pt>
                <c:pt idx="5">
                  <c:v>1526.40263</c:v>
                </c:pt>
                <c:pt idx="6">
                  <c:v>5524.9267099999997</c:v>
                </c:pt>
                <c:pt idx="7">
                  <c:v>6004.1445800000001</c:v>
                </c:pt>
                <c:pt idx="8">
                  <c:v>14673.2474</c:v>
                </c:pt>
                <c:pt idx="9">
                  <c:v>14791.91165</c:v>
                </c:pt>
                <c:pt idx="10">
                  <c:v>16176.012650000001</c:v>
                </c:pt>
                <c:pt idx="11">
                  <c:v>16316.953450000001</c:v>
                </c:pt>
                <c:pt idx="12">
                  <c:v>18254.43345</c:v>
                </c:pt>
                <c:pt idx="13">
                  <c:v>18567.74005</c:v>
                </c:pt>
                <c:pt idx="14">
                  <c:v>18567.74005</c:v>
                </c:pt>
                <c:pt idx="15">
                  <c:v>20708.8</c:v>
                </c:pt>
              </c:numCache>
            </c:numRef>
          </c:xVal>
          <c:yVal>
            <c:numRef>
              <c:f>'Curve after offset (at T= 161.5'!$N$26:$N$41</c:f>
              <c:numCache>
                <c:formatCode>General</c:formatCode>
                <c:ptCount val="16"/>
                <c:pt idx="0">
                  <c:v>27.8</c:v>
                </c:pt>
                <c:pt idx="1">
                  <c:v>30.5</c:v>
                </c:pt>
                <c:pt idx="2">
                  <c:v>31.5</c:v>
                </c:pt>
                <c:pt idx="3">
                  <c:v>45</c:v>
                </c:pt>
                <c:pt idx="4">
                  <c:v>49.1</c:v>
                </c:pt>
                <c:pt idx="5">
                  <c:v>60.4</c:v>
                </c:pt>
                <c:pt idx="6">
                  <c:v>62.8</c:v>
                </c:pt>
                <c:pt idx="7">
                  <c:v>70.900000000000006</c:v>
                </c:pt>
                <c:pt idx="8">
                  <c:v>111.5</c:v>
                </c:pt>
                <c:pt idx="9">
                  <c:v>114</c:v>
                </c:pt>
                <c:pt idx="10">
                  <c:v>144</c:v>
                </c:pt>
                <c:pt idx="11">
                  <c:v>149.19999999999999</c:v>
                </c:pt>
                <c:pt idx="12">
                  <c:v>169.2</c:v>
                </c:pt>
                <c:pt idx="13">
                  <c:v>173.5</c:v>
                </c:pt>
                <c:pt idx="14">
                  <c:v>279.5</c:v>
                </c:pt>
                <c:pt idx="15">
                  <c:v>440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702216"/>
        <c:axId val="278702608"/>
      </c:scatterChart>
      <c:valAx>
        <c:axId val="27870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02608"/>
        <c:crosses val="autoZero"/>
        <c:crossBetween val="midCat"/>
      </c:valAx>
      <c:valAx>
        <c:axId val="2787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02216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Process</a:t>
            </a:r>
            <a:r>
              <a:rPr lang="en-GB" baseline="0"/>
              <a:t> intgration if we use same equation at T = 85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 after offset (T = 85)'!$J$26:$J$41</c:f>
              <c:numCache>
                <c:formatCode>General</c:formatCode>
                <c:ptCount val="16"/>
                <c:pt idx="0">
                  <c:v>12119.45305000002</c:v>
                </c:pt>
                <c:pt idx="1">
                  <c:v>12490.235770000019</c:v>
                </c:pt>
                <c:pt idx="2">
                  <c:v>12490.235770000019</c:v>
                </c:pt>
                <c:pt idx="3">
                  <c:v>13089.98674400002</c:v>
                </c:pt>
                <c:pt idx="4">
                  <c:v>13456.319729000021</c:v>
                </c:pt>
                <c:pt idx="5">
                  <c:v>14712.29226900002</c:v>
                </c:pt>
                <c:pt idx="6">
                  <c:v>15355.47231900002</c:v>
                </c:pt>
                <c:pt idx="7">
                  <c:v>19267.43736600002</c:v>
                </c:pt>
                <c:pt idx="8">
                  <c:v>19972.13898600002</c:v>
                </c:pt>
                <c:pt idx="9">
                  <c:v>20321.330942000022</c:v>
                </c:pt>
                <c:pt idx="10">
                  <c:v>27021.945710000022</c:v>
                </c:pt>
                <c:pt idx="11">
                  <c:v>27429.543440000019</c:v>
                </c:pt>
                <c:pt idx="12">
                  <c:v>27902.880730000019</c:v>
                </c:pt>
                <c:pt idx="13">
                  <c:v>28060.700580000019</c:v>
                </c:pt>
                <c:pt idx="14">
                  <c:v>37326.43485000002</c:v>
                </c:pt>
                <c:pt idx="15">
                  <c:v>37524.020330000021</c:v>
                </c:pt>
              </c:numCache>
            </c:numRef>
          </c:xVal>
          <c:yVal>
            <c:numRef>
              <c:f>'Curve after offset (T = 85)'!$K$26:$K$41</c:f>
              <c:numCache>
                <c:formatCode>General</c:formatCode>
                <c:ptCount val="16"/>
                <c:pt idx="0">
                  <c:v>-28.4</c:v>
                </c:pt>
                <c:pt idx="1">
                  <c:v>20</c:v>
                </c:pt>
                <c:pt idx="2">
                  <c:v>38.4</c:v>
                </c:pt>
                <c:pt idx="3">
                  <c:v>77</c:v>
                </c:pt>
                <c:pt idx="4">
                  <c:v>90.1</c:v>
                </c:pt>
                <c:pt idx="5">
                  <c:v>91.1</c:v>
                </c:pt>
                <c:pt idx="6">
                  <c:v>114.1</c:v>
                </c:pt>
                <c:pt idx="7">
                  <c:v>122.4</c:v>
                </c:pt>
                <c:pt idx="8">
                  <c:v>147.6</c:v>
                </c:pt>
                <c:pt idx="9">
                  <c:v>175.7</c:v>
                </c:pt>
                <c:pt idx="10">
                  <c:v>176.6</c:v>
                </c:pt>
                <c:pt idx="11">
                  <c:v>209.4</c:v>
                </c:pt>
                <c:pt idx="12">
                  <c:v>218</c:v>
                </c:pt>
                <c:pt idx="13">
                  <c:v>230.7</c:v>
                </c:pt>
                <c:pt idx="14">
                  <c:v>234.1</c:v>
                </c:pt>
                <c:pt idx="15">
                  <c:v>250</c:v>
                </c:pt>
              </c:numCache>
            </c:numRef>
          </c:yVal>
          <c:smooth val="0"/>
        </c:ser>
        <c:ser>
          <c:idx val="1"/>
          <c:order val="1"/>
          <c:tx>
            <c:v>Hot Stream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'Curve after offset (T = 85)'!$M$26:$M$41</c:f>
              <c:numCache>
                <c:formatCode>General</c:formatCode>
                <c:ptCount val="16"/>
                <c:pt idx="0">
                  <c:v>0</c:v>
                </c:pt>
                <c:pt idx="1">
                  <c:v>3.5882999999999998</c:v>
                </c:pt>
                <c:pt idx="2">
                  <c:v>28.929300000000001</c:v>
                </c:pt>
                <c:pt idx="3">
                  <c:v>627.97424999999998</c:v>
                </c:pt>
                <c:pt idx="4">
                  <c:v>857.86411999999996</c:v>
                </c:pt>
                <c:pt idx="5">
                  <c:v>1526.40263</c:v>
                </c:pt>
                <c:pt idx="6">
                  <c:v>5524.9267099999997</c:v>
                </c:pt>
                <c:pt idx="7">
                  <c:v>6004.1445800000001</c:v>
                </c:pt>
                <c:pt idx="8">
                  <c:v>14673.2474</c:v>
                </c:pt>
                <c:pt idx="9">
                  <c:v>14791.91165</c:v>
                </c:pt>
                <c:pt idx="10">
                  <c:v>16176.012650000001</c:v>
                </c:pt>
                <c:pt idx="11">
                  <c:v>16316.953450000001</c:v>
                </c:pt>
                <c:pt idx="12">
                  <c:v>18254.43345</c:v>
                </c:pt>
                <c:pt idx="13">
                  <c:v>18567.74005</c:v>
                </c:pt>
                <c:pt idx="14">
                  <c:v>18567.74005</c:v>
                </c:pt>
                <c:pt idx="15">
                  <c:v>20708.8</c:v>
                </c:pt>
              </c:numCache>
            </c:numRef>
          </c:xVal>
          <c:yVal>
            <c:numRef>
              <c:f>'Curve after offset (T = 85)'!$N$26:$N$41</c:f>
              <c:numCache>
                <c:formatCode>General</c:formatCode>
                <c:ptCount val="16"/>
                <c:pt idx="0">
                  <c:v>27.8</c:v>
                </c:pt>
                <c:pt idx="1">
                  <c:v>30.5</c:v>
                </c:pt>
                <c:pt idx="2">
                  <c:v>31.5</c:v>
                </c:pt>
                <c:pt idx="3">
                  <c:v>45</c:v>
                </c:pt>
                <c:pt idx="4">
                  <c:v>49.1</c:v>
                </c:pt>
                <c:pt idx="5">
                  <c:v>60.4</c:v>
                </c:pt>
                <c:pt idx="6">
                  <c:v>62.8</c:v>
                </c:pt>
                <c:pt idx="7">
                  <c:v>70.900000000000006</c:v>
                </c:pt>
                <c:pt idx="8">
                  <c:v>111.5</c:v>
                </c:pt>
                <c:pt idx="9">
                  <c:v>114</c:v>
                </c:pt>
                <c:pt idx="10">
                  <c:v>144</c:v>
                </c:pt>
                <c:pt idx="11">
                  <c:v>149.19999999999999</c:v>
                </c:pt>
                <c:pt idx="12">
                  <c:v>169.2</c:v>
                </c:pt>
                <c:pt idx="13">
                  <c:v>173.5</c:v>
                </c:pt>
                <c:pt idx="14">
                  <c:v>279.5</c:v>
                </c:pt>
                <c:pt idx="15">
                  <c:v>440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703000"/>
        <c:axId val="278699080"/>
      </c:scatterChart>
      <c:valAx>
        <c:axId val="278703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99080"/>
        <c:crosses val="autoZero"/>
        <c:crossBetween val="midCat"/>
        <c:majorUnit val="1000"/>
      </c:valAx>
      <c:valAx>
        <c:axId val="27869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03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465364</xdr:colOff>
      <xdr:row>28</xdr:row>
      <xdr:rowOff>59871</xdr:rowOff>
    </xdr:from>
    <xdr:to>
      <xdr:col>38</xdr:col>
      <xdr:colOff>76200</xdr:colOff>
      <xdr:row>74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213358</xdr:colOff>
      <xdr:row>37</xdr:row>
      <xdr:rowOff>60959</xdr:rowOff>
    </xdr:from>
    <xdr:to>
      <xdr:col>33</xdr:col>
      <xdr:colOff>16624</xdr:colOff>
      <xdr:row>80</xdr:row>
      <xdr:rowOff>60959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359229</xdr:colOff>
      <xdr:row>23</xdr:row>
      <xdr:rowOff>31568</xdr:rowOff>
    </xdr:from>
    <xdr:to>
      <xdr:col>23</xdr:col>
      <xdr:colOff>267789</xdr:colOff>
      <xdr:row>58</xdr:row>
      <xdr:rowOff>87086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349624</xdr:colOff>
      <xdr:row>37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331694</xdr:colOff>
      <xdr:row>18</xdr:row>
      <xdr:rowOff>125506</xdr:rowOff>
    </xdr:from>
    <xdr:to>
      <xdr:col>23</xdr:col>
      <xdr:colOff>170329</xdr:colOff>
      <xdr:row>19</xdr:row>
      <xdr:rowOff>8965</xdr:rowOff>
    </xdr:to>
    <xdr:cxnSp macro="">
      <xdr:nvCxnSpPr>
        <xdr:cNvPr id="6" name="Straight Arrow Connector 5"/>
        <xdr:cNvCxnSpPr/>
      </xdr:nvCxnSpPr>
      <xdr:spPr>
        <a:xfrm flipV="1">
          <a:off x="8256494" y="3352800"/>
          <a:ext cx="5934635" cy="627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206188</xdr:colOff>
      <xdr:row>15</xdr:row>
      <xdr:rowOff>17929</xdr:rowOff>
    </xdr:from>
    <xdr:to>
      <xdr:col>26</xdr:col>
      <xdr:colOff>188259</xdr:colOff>
      <xdr:row>24</xdr:row>
      <xdr:rowOff>53788</xdr:rowOff>
    </xdr:to>
    <xdr:sp macro="" textlink="">
      <xdr:nvSpPr>
        <xdr:cNvPr id="7" name="TextBox 6"/>
        <xdr:cNvSpPr txBox="1"/>
      </xdr:nvSpPr>
      <xdr:spPr>
        <a:xfrm>
          <a:off x="14226988" y="2707341"/>
          <a:ext cx="1810871" cy="1649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This</a:t>
          </a:r>
          <a:r>
            <a:rPr lang="en-GB" sz="1100" baseline="0"/>
            <a:t> is greatest violation as hot line can never cross cold line </a:t>
          </a:r>
        </a:p>
        <a:p>
          <a:r>
            <a:rPr lang="en-GB" sz="1100" baseline="0"/>
            <a:t>So now we have to find Q offset</a:t>
          </a:r>
          <a:endParaRPr lang="en-GB" sz="1100"/>
        </a:p>
      </xdr:txBody>
    </xdr:sp>
    <xdr:clientData/>
  </xdr:twoCellAnchor>
  <xdr:twoCellAnchor>
    <xdr:from>
      <xdr:col>22</xdr:col>
      <xdr:colOff>511629</xdr:colOff>
      <xdr:row>25</xdr:row>
      <xdr:rowOff>141514</xdr:rowOff>
    </xdr:from>
    <xdr:to>
      <xdr:col>26</xdr:col>
      <xdr:colOff>391886</xdr:colOff>
      <xdr:row>32</xdr:row>
      <xdr:rowOff>97971</xdr:rowOff>
    </xdr:to>
    <xdr:sp macro="" textlink="">
      <xdr:nvSpPr>
        <xdr:cNvPr id="3" name="TextBox 2"/>
        <xdr:cNvSpPr txBox="1"/>
      </xdr:nvSpPr>
      <xdr:spPr>
        <a:xfrm>
          <a:off x="13922829" y="4767943"/>
          <a:ext cx="2318657" cy="12518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This</a:t>
          </a:r>
          <a:r>
            <a:rPr lang="en-GB" sz="1100" baseline="0"/>
            <a:t> can be considered as </a:t>
          </a:r>
          <a:r>
            <a:rPr lang="en-GB" sz="1100"/>
            <a:t>pinch point an</a:t>
          </a:r>
          <a:r>
            <a:rPr lang="en-GB" sz="1100" baseline="0"/>
            <a:t>d </a:t>
          </a:r>
          <a:r>
            <a:rPr lang="en-GB" sz="1100"/>
            <a:t>delta T pinch of 12 K</a:t>
          </a:r>
          <a:r>
            <a:rPr lang="en-GB" sz="1100" baseline="0"/>
            <a:t> is considered.</a:t>
          </a:r>
          <a:endParaRPr lang="en-GB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0.5316</cdr:x>
      <cdr:y>0.43329</cdr:y>
    </cdr:from>
    <cdr:to>
      <cdr:x>0.60521</cdr:x>
      <cdr:y>0.43461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7315200" y="2940424"/>
          <a:ext cx="1013012" cy="896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0.53029</cdr:x>
      <cdr:y>0.43461</cdr:y>
    </cdr:from>
    <cdr:to>
      <cdr:x>0.53094</cdr:x>
      <cdr:y>0.5284</cdr:y>
    </cdr:to>
    <cdr:cxnSp macro="">
      <cdr:nvCxnSpPr>
        <cdr:cNvPr id="5" name="Straight Connector 4"/>
        <cdr:cNvCxnSpPr/>
      </cdr:nvCxnSpPr>
      <cdr:spPr>
        <a:xfrm xmlns:a="http://schemas.openxmlformats.org/drawingml/2006/main" flipH="1">
          <a:off x="7297271" y="2949388"/>
          <a:ext cx="8964" cy="63649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0.53094</cdr:x>
      <cdr:y>0.52576</cdr:y>
    </cdr:from>
    <cdr:to>
      <cdr:x>0.60391</cdr:x>
      <cdr:y>0.52708</cdr:y>
    </cdr:to>
    <cdr:cxnSp macro="">
      <cdr:nvCxnSpPr>
        <cdr:cNvPr id="7" name="Straight Connector 6"/>
        <cdr:cNvCxnSpPr/>
      </cdr:nvCxnSpPr>
      <cdr:spPr>
        <a:xfrm xmlns:a="http://schemas.openxmlformats.org/drawingml/2006/main" flipV="1">
          <a:off x="7306235" y="3567953"/>
          <a:ext cx="1004047" cy="896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0.60391</cdr:x>
      <cdr:y>0.43461</cdr:y>
    </cdr:from>
    <cdr:to>
      <cdr:x>0.60391</cdr:x>
      <cdr:y>0.52708</cdr:y>
    </cdr:to>
    <cdr:cxnSp macro="">
      <cdr:nvCxnSpPr>
        <cdr:cNvPr id="10" name="Straight Connector 9"/>
        <cdr:cNvCxnSpPr/>
      </cdr:nvCxnSpPr>
      <cdr:spPr>
        <a:xfrm xmlns:a="http://schemas.openxmlformats.org/drawingml/2006/main">
          <a:off x="8310282" y="2949388"/>
          <a:ext cx="0" cy="62753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0.55247</cdr:x>
      <cdr:y>0.53879</cdr:y>
    </cdr:from>
    <cdr:to>
      <cdr:x>0.55332</cdr:x>
      <cdr:y>0.57374</cdr:y>
    </cdr:to>
    <cdr:cxnSp macro="">
      <cdr:nvCxnSpPr>
        <cdr:cNvPr id="4" name="Straight Connector 3"/>
        <cdr:cNvCxnSpPr/>
      </cdr:nvCxnSpPr>
      <cdr:spPr>
        <a:xfrm xmlns:a="http://schemas.openxmlformats.org/drawingml/2006/main">
          <a:off x="7602415" y="3704492"/>
          <a:ext cx="11723" cy="24032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0.55375</cdr:x>
      <cdr:y>0.57374</cdr:y>
    </cdr:from>
    <cdr:to>
      <cdr:x>0.5759</cdr:x>
      <cdr:y>0.57374</cdr:y>
    </cdr:to>
    <cdr:cxnSp macro="">
      <cdr:nvCxnSpPr>
        <cdr:cNvPr id="11" name="Straight Connector 10"/>
        <cdr:cNvCxnSpPr/>
      </cdr:nvCxnSpPr>
      <cdr:spPr>
        <a:xfrm xmlns:a="http://schemas.openxmlformats.org/drawingml/2006/main">
          <a:off x="7620000" y="3944815"/>
          <a:ext cx="30480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0.55289</cdr:x>
      <cdr:y>0.53794</cdr:y>
    </cdr:from>
    <cdr:to>
      <cdr:x>0.57632</cdr:x>
      <cdr:y>0.53794</cdr:y>
    </cdr:to>
    <cdr:cxnSp macro="">
      <cdr:nvCxnSpPr>
        <cdr:cNvPr id="13" name="Straight Connector 12"/>
        <cdr:cNvCxnSpPr/>
      </cdr:nvCxnSpPr>
      <cdr:spPr>
        <a:xfrm xmlns:a="http://schemas.openxmlformats.org/drawingml/2006/main">
          <a:off x="7608277" y="3698631"/>
          <a:ext cx="32238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0.57547</cdr:x>
      <cdr:y>0.53964</cdr:y>
    </cdr:from>
    <cdr:to>
      <cdr:x>0.5759</cdr:x>
      <cdr:y>0.57374</cdr:y>
    </cdr:to>
    <cdr:cxnSp macro="">
      <cdr:nvCxnSpPr>
        <cdr:cNvPr id="15" name="Straight Connector 14"/>
        <cdr:cNvCxnSpPr/>
      </cdr:nvCxnSpPr>
      <cdr:spPr>
        <a:xfrm xmlns:a="http://schemas.openxmlformats.org/drawingml/2006/main">
          <a:off x="7918938" y="3710354"/>
          <a:ext cx="5862" cy="23446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0.57669</cdr:x>
      <cdr:y>0.56143</cdr:y>
    </cdr:from>
    <cdr:to>
      <cdr:x>1</cdr:x>
      <cdr:y>0.72473</cdr:y>
    </cdr:to>
    <cdr:cxnSp macro="">
      <cdr:nvCxnSpPr>
        <cdr:cNvPr id="17" name="Straight Arrow Connector 16"/>
        <cdr:cNvCxnSpPr/>
      </cdr:nvCxnSpPr>
      <cdr:spPr>
        <a:xfrm xmlns:a="http://schemas.openxmlformats.org/drawingml/2006/main">
          <a:off x="7935686" y="3929743"/>
          <a:ext cx="5825138" cy="114301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182880</xdr:colOff>
      <xdr:row>8</xdr:row>
      <xdr:rowOff>93518</xdr:rowOff>
    </xdr:from>
    <xdr:to>
      <xdr:col>49</xdr:col>
      <xdr:colOff>211372</xdr:colOff>
      <xdr:row>57</xdr:row>
      <xdr:rowOff>124329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423786</xdr:colOff>
      <xdr:row>15</xdr:row>
      <xdr:rowOff>155644</xdr:rowOff>
    </xdr:from>
    <xdr:to>
      <xdr:col>29</xdr:col>
      <xdr:colOff>484909</xdr:colOff>
      <xdr:row>49</xdr:row>
      <xdr:rowOff>55419</xdr:rowOff>
    </xdr:to>
    <xdr:cxnSp macro="">
      <xdr:nvCxnSpPr>
        <xdr:cNvPr id="4" name="Straight Connector 3"/>
        <xdr:cNvCxnSpPr/>
      </xdr:nvCxnSpPr>
      <xdr:spPr>
        <a:xfrm>
          <a:off x="24724659" y="2857280"/>
          <a:ext cx="61123" cy="602348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401782</xdr:colOff>
      <xdr:row>15</xdr:row>
      <xdr:rowOff>138546</xdr:rowOff>
    </xdr:from>
    <xdr:to>
      <xdr:col>25</xdr:col>
      <xdr:colOff>431936</xdr:colOff>
      <xdr:row>49</xdr:row>
      <xdr:rowOff>28930</xdr:rowOff>
    </xdr:to>
    <xdr:cxnSp macro="">
      <xdr:nvCxnSpPr>
        <xdr:cNvPr id="5" name="Straight Connector 4"/>
        <xdr:cNvCxnSpPr/>
      </xdr:nvCxnSpPr>
      <xdr:spPr>
        <a:xfrm>
          <a:off x="22264255" y="2840182"/>
          <a:ext cx="30154" cy="6014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16</xdr:row>
      <xdr:rowOff>83128</xdr:rowOff>
    </xdr:from>
    <xdr:to>
      <xdr:col>19</xdr:col>
      <xdr:colOff>233082</xdr:colOff>
      <xdr:row>18</xdr:row>
      <xdr:rowOff>46739</xdr:rowOff>
    </xdr:to>
    <xdr:sp macro="" textlink="">
      <xdr:nvSpPr>
        <xdr:cNvPr id="7" name="TextBox 1"/>
        <xdr:cNvSpPr txBox="1"/>
      </xdr:nvSpPr>
      <xdr:spPr>
        <a:xfrm>
          <a:off x="16985673" y="2964873"/>
          <a:ext cx="1452282" cy="32383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GB" sz="1100" b="1"/>
            <a:t>Cooling Requirement</a:t>
          </a:r>
        </a:p>
      </xdr:txBody>
    </xdr:sp>
    <xdr:clientData/>
  </xdr:twoCellAnchor>
  <xdr:twoCellAnchor>
    <xdr:from>
      <xdr:col>26</xdr:col>
      <xdr:colOff>249382</xdr:colOff>
      <xdr:row>14</xdr:row>
      <xdr:rowOff>166255</xdr:rowOff>
    </xdr:from>
    <xdr:to>
      <xdr:col>28</xdr:col>
      <xdr:colOff>482464</xdr:colOff>
      <xdr:row>16</xdr:row>
      <xdr:rowOff>129867</xdr:rowOff>
    </xdr:to>
    <xdr:sp macro="" textlink="">
      <xdr:nvSpPr>
        <xdr:cNvPr id="8" name="TextBox 1"/>
        <xdr:cNvSpPr txBox="1"/>
      </xdr:nvSpPr>
      <xdr:spPr>
        <a:xfrm>
          <a:off x="22721455" y="2687782"/>
          <a:ext cx="1452282" cy="32383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GB" sz="1100" b="1"/>
            <a:t>Energy</a:t>
          </a:r>
          <a:r>
            <a:rPr lang="en-GB" sz="1100" b="1" baseline="0"/>
            <a:t> Saving</a:t>
          </a:r>
          <a:endParaRPr lang="en-GB" sz="1100" b="1"/>
        </a:p>
      </xdr:txBody>
    </xdr:sp>
    <xdr:clientData/>
  </xdr:twoCellAnchor>
  <xdr:twoCellAnchor>
    <xdr:from>
      <xdr:col>36</xdr:col>
      <xdr:colOff>13855</xdr:colOff>
      <xdr:row>14</xdr:row>
      <xdr:rowOff>124692</xdr:rowOff>
    </xdr:from>
    <xdr:to>
      <xdr:col>38</xdr:col>
      <xdr:colOff>291761</xdr:colOff>
      <xdr:row>16</xdr:row>
      <xdr:rowOff>153069</xdr:rowOff>
    </xdr:to>
    <xdr:sp macro="" textlink="">
      <xdr:nvSpPr>
        <xdr:cNvPr id="9" name="TextBox 1"/>
        <xdr:cNvSpPr txBox="1"/>
      </xdr:nvSpPr>
      <xdr:spPr>
        <a:xfrm>
          <a:off x="28581928" y="2646219"/>
          <a:ext cx="1497106" cy="38859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GB" sz="1100" b="1"/>
            <a:t>Heating Requirement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446314</xdr:colOff>
      <xdr:row>11</xdr:row>
      <xdr:rowOff>87084</xdr:rowOff>
    </xdr:from>
    <xdr:to>
      <xdr:col>43</xdr:col>
      <xdr:colOff>364672</xdr:colOff>
      <xdr:row>47</xdr:row>
      <xdr:rowOff>81640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0.52024</cdr:x>
      <cdr:y>0.15548</cdr:y>
    </cdr:from>
    <cdr:to>
      <cdr:x>0.52024</cdr:x>
      <cdr:y>0.8291</cdr:y>
    </cdr:to>
    <cdr:cxnSp macro="">
      <cdr:nvCxnSpPr>
        <cdr:cNvPr id="5" name="Straight Connector 4"/>
        <cdr:cNvCxnSpPr/>
      </cdr:nvCxnSpPr>
      <cdr:spPr>
        <a:xfrm xmlns:a="http://schemas.openxmlformats.org/drawingml/2006/main">
          <a:off x="7018550" y="1117329"/>
          <a:ext cx="0" cy="484094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0.65845</cdr:x>
      <cdr:y>0.13427</cdr:y>
    </cdr:from>
    <cdr:to>
      <cdr:x>0.76942</cdr:x>
      <cdr:y>0.18666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8883209" y="964929"/>
          <a:ext cx="1497106" cy="376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/>
            <a:t>Heating Requirement</a:t>
          </a:r>
        </a:p>
      </cdr:txBody>
    </cdr:sp>
  </cdr:relSizeAnchor>
  <cdr:relSizeAnchor xmlns:cdr="http://schemas.openxmlformats.org/drawingml/2006/chartDrawing">
    <cdr:from>
      <cdr:x>0.31504</cdr:x>
      <cdr:y>0.16296</cdr:y>
    </cdr:from>
    <cdr:to>
      <cdr:x>0.3169</cdr:x>
      <cdr:y>0.87388</cdr:y>
    </cdr:to>
    <cdr:cxnSp macro="">
      <cdr:nvCxnSpPr>
        <cdr:cNvPr id="9" name="Straight Connector 8"/>
        <cdr:cNvCxnSpPr/>
      </cdr:nvCxnSpPr>
      <cdr:spPr>
        <a:xfrm xmlns:a="http://schemas.openxmlformats.org/drawingml/2006/main" flipV="1">
          <a:off x="6373585" y="1578803"/>
          <a:ext cx="37651" cy="688756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0.0624</cdr:x>
      <cdr:y>0.14799</cdr:y>
    </cdr:from>
    <cdr:to>
      <cdr:x>0.17005</cdr:x>
      <cdr:y>0.19165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841868" y="1063540"/>
          <a:ext cx="1452282" cy="313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/>
            <a:t>Cooling Requirement</a:t>
          </a:r>
        </a:p>
      </cdr:txBody>
    </cdr:sp>
  </cdr:relSizeAnchor>
  <cdr:relSizeAnchor xmlns:cdr="http://schemas.openxmlformats.org/drawingml/2006/chartDrawing">
    <cdr:from>
      <cdr:x>0.36686</cdr:x>
      <cdr:y>0.14188</cdr:y>
    </cdr:from>
    <cdr:to>
      <cdr:x>0.47451</cdr:x>
      <cdr:y>0.18554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4949372" y="1052285"/>
          <a:ext cx="1452282" cy="3238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/>
            <a:t>Energy</a:t>
          </a:r>
          <a:r>
            <a:rPr lang="en-GB" sz="1100" b="1" baseline="0"/>
            <a:t> Saving</a:t>
          </a:r>
          <a:endParaRPr lang="en-GB" sz="11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60"/>
  <sheetViews>
    <sheetView tabSelected="1" topLeftCell="F1" zoomScale="70" zoomScaleNormal="70" workbookViewId="0">
      <selection activeCell="F6" sqref="F6:H24"/>
    </sheetView>
  </sheetViews>
  <sheetFormatPr defaultRowHeight="14.4" x14ac:dyDescent="0.3"/>
  <cols>
    <col min="1" max="1" width="14.77734375" customWidth="1"/>
    <col min="3" max="3" width="25.44140625" customWidth="1"/>
    <col min="6" max="6" width="23.44140625" customWidth="1"/>
    <col min="7" max="8" width="19.6640625" customWidth="1"/>
    <col min="9" max="9" width="14.21875" customWidth="1"/>
    <col min="10" max="10" width="17.21875" customWidth="1"/>
    <col min="11" max="11" width="18.109375" customWidth="1"/>
    <col min="12" max="12" width="15.33203125" customWidth="1"/>
    <col min="13" max="13" width="14.5546875" customWidth="1"/>
    <col min="14" max="14" width="17.109375" customWidth="1"/>
    <col min="15" max="15" width="12.109375" customWidth="1"/>
    <col min="16" max="16" width="14.21875" customWidth="1"/>
    <col min="17" max="17" width="12.44140625" customWidth="1"/>
    <col min="18" max="18" width="25.5546875" customWidth="1"/>
    <col min="19" max="19" width="14.109375" customWidth="1"/>
    <col min="20" max="20" width="10.88671875" customWidth="1"/>
    <col min="22" max="22" width="15.44140625" customWidth="1"/>
  </cols>
  <sheetData>
    <row r="2" spans="3:20" x14ac:dyDescent="0.3">
      <c r="G2" s="14" t="s">
        <v>61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6" spans="3:20" x14ac:dyDescent="0.3">
      <c r="F6" s="14" t="s">
        <v>2</v>
      </c>
      <c r="G6" s="14"/>
      <c r="H6" s="1" t="s">
        <v>10</v>
      </c>
      <c r="I6" s="1" t="s">
        <v>0</v>
      </c>
      <c r="J6" s="1" t="s">
        <v>1</v>
      </c>
      <c r="K6" s="1" t="s">
        <v>3</v>
      </c>
      <c r="L6" s="1" t="s">
        <v>4</v>
      </c>
      <c r="M6" s="1" t="s">
        <v>5</v>
      </c>
      <c r="N6" s="1" t="s">
        <v>6</v>
      </c>
      <c r="O6" s="1" t="s">
        <v>7</v>
      </c>
      <c r="P6" s="1" t="s">
        <v>8</v>
      </c>
      <c r="Q6" s="1" t="s">
        <v>9</v>
      </c>
      <c r="R6" s="1" t="s">
        <v>22</v>
      </c>
      <c r="S6" s="6"/>
      <c r="T6" s="6"/>
    </row>
    <row r="8" spans="3:20" x14ac:dyDescent="0.3">
      <c r="F8">
        <v>27.8</v>
      </c>
      <c r="G8">
        <v>30.5</v>
      </c>
      <c r="H8">
        <f t="shared" ref="H8:H24" si="0" xml:space="preserve"> $G8-$F8</f>
        <v>2.6999999999999993</v>
      </c>
      <c r="I8">
        <v>0</v>
      </c>
      <c r="J8">
        <v>0</v>
      </c>
      <c r="K8">
        <v>0</v>
      </c>
      <c r="L8">
        <v>0</v>
      </c>
      <c r="M8">
        <v>0</v>
      </c>
      <c r="N8">
        <f>H8*N35</f>
        <v>3.5882999999999989</v>
      </c>
      <c r="O8">
        <v>0</v>
      </c>
      <c r="P8">
        <v>0</v>
      </c>
      <c r="Q8">
        <v>0</v>
      </c>
      <c r="R8">
        <v>3.5882999999999998</v>
      </c>
    </row>
    <row r="9" spans="3:20" x14ac:dyDescent="0.3">
      <c r="C9" s="13" t="s">
        <v>60</v>
      </c>
      <c r="F9">
        <v>30.5</v>
      </c>
      <c r="G9">
        <v>31.5</v>
      </c>
      <c r="H9">
        <f t="shared" si="0"/>
        <v>1</v>
      </c>
      <c r="I9">
        <f>H9*N30</f>
        <v>24.012</v>
      </c>
      <c r="J9">
        <v>0</v>
      </c>
      <c r="K9">
        <v>0</v>
      </c>
      <c r="L9">
        <v>0</v>
      </c>
      <c r="M9">
        <v>0</v>
      </c>
      <c r="N9">
        <f>H9*N35</f>
        <v>1.329</v>
      </c>
      <c r="O9">
        <v>0</v>
      </c>
      <c r="P9">
        <v>0</v>
      </c>
      <c r="Q9">
        <v>0</v>
      </c>
      <c r="R9">
        <f>R8+I9+N9</f>
        <v>28.929300000000001</v>
      </c>
    </row>
    <row r="10" spans="3:20" x14ac:dyDescent="0.3">
      <c r="F10">
        <v>31.5</v>
      </c>
      <c r="G10">
        <v>45</v>
      </c>
      <c r="H10">
        <f t="shared" si="0"/>
        <v>13.5</v>
      </c>
      <c r="I10">
        <f>$H10*$N30</f>
        <v>324.16200000000003</v>
      </c>
      <c r="J10">
        <f>H10*N31</f>
        <v>256.94144999999997</v>
      </c>
      <c r="K10">
        <v>0</v>
      </c>
      <c r="L10">
        <v>0</v>
      </c>
      <c r="M10">
        <v>0</v>
      </c>
      <c r="N10">
        <f>H10*N35</f>
        <v>17.941499999999998</v>
      </c>
      <c r="O10">
        <v>0</v>
      </c>
      <c r="P10">
        <v>0</v>
      </c>
      <c r="Q10">
        <v>0</v>
      </c>
      <c r="R10">
        <f>R9+I10+J10+N10</f>
        <v>627.9742500000001</v>
      </c>
    </row>
    <row r="11" spans="3:20" x14ac:dyDescent="0.3">
      <c r="F11">
        <v>45</v>
      </c>
      <c r="G11">
        <v>49.1</v>
      </c>
      <c r="H11">
        <f t="shared" si="0"/>
        <v>4.1000000000000014</v>
      </c>
      <c r="I11">
        <f>H11*N30</f>
        <v>98.449200000000033</v>
      </c>
      <c r="J11">
        <f>H11*N31</f>
        <v>78.034070000000014</v>
      </c>
      <c r="K11">
        <v>0</v>
      </c>
      <c r="L11">
        <f>H11*N33</f>
        <v>47.95770000000001</v>
      </c>
      <c r="M11">
        <v>0</v>
      </c>
      <c r="N11">
        <f>H11*N35</f>
        <v>5.4489000000000019</v>
      </c>
      <c r="O11">
        <v>0</v>
      </c>
      <c r="P11">
        <v>0</v>
      </c>
      <c r="Q11">
        <v>0</v>
      </c>
      <c r="R11">
        <f>R10+I11+J11+L11+N11</f>
        <v>857.86412000000018</v>
      </c>
    </row>
    <row r="12" spans="3:20" x14ac:dyDescent="0.3">
      <c r="F12">
        <v>49.1</v>
      </c>
      <c r="G12">
        <v>60.4</v>
      </c>
      <c r="H12">
        <f t="shared" si="0"/>
        <v>11.299999999999997</v>
      </c>
      <c r="I12">
        <f>H12*N30</f>
        <v>271.33559999999994</v>
      </c>
      <c r="J12">
        <f>H12*N31</f>
        <v>215.06950999999992</v>
      </c>
      <c r="K12">
        <v>0</v>
      </c>
      <c r="L12">
        <f>H12*N33</f>
        <v>132.17609999999996</v>
      </c>
      <c r="M12">
        <v>0</v>
      </c>
      <c r="N12">
        <f>H12*N35</f>
        <v>15.017699999999996</v>
      </c>
      <c r="O12">
        <v>0</v>
      </c>
      <c r="P12">
        <f>H12*N37</f>
        <v>34.939599999999992</v>
      </c>
      <c r="Q12">
        <v>0</v>
      </c>
      <c r="R12">
        <f>R11+I12+J12+L12+N12+P12</f>
        <v>1526.4026299999998</v>
      </c>
    </row>
    <row r="13" spans="3:20" x14ac:dyDescent="0.3">
      <c r="F13">
        <v>60.4</v>
      </c>
      <c r="G13">
        <v>62.8</v>
      </c>
      <c r="H13">
        <f t="shared" si="0"/>
        <v>2.3999999999999986</v>
      </c>
      <c r="I13">
        <f>H13*N30</f>
        <v>57.62879999999997</v>
      </c>
      <c r="J13">
        <f>H13*N31</f>
        <v>45.678479999999972</v>
      </c>
      <c r="K13">
        <v>0</v>
      </c>
      <c r="L13">
        <f>H13*N33</f>
        <v>28.072799999999983</v>
      </c>
      <c r="M13">
        <f>H13*N34</f>
        <v>3856.5335999999975</v>
      </c>
      <c r="N13">
        <f>H13*N35</f>
        <v>3.1895999999999982</v>
      </c>
      <c r="O13">
        <v>0</v>
      </c>
      <c r="P13">
        <f>H13*N37</f>
        <v>7.4207999999999954</v>
      </c>
      <c r="Q13">
        <v>0</v>
      </c>
      <c r="R13">
        <f>R12+I13+J13+L13+M13+N13+P13</f>
        <v>5524.926709999997</v>
      </c>
    </row>
    <row r="14" spans="3:20" x14ac:dyDescent="0.3">
      <c r="F14">
        <v>62.8</v>
      </c>
      <c r="G14">
        <v>70.900000000000006</v>
      </c>
      <c r="H14">
        <f t="shared" si="0"/>
        <v>8.1000000000000085</v>
      </c>
      <c r="I14">
        <f>H14*N30</f>
        <v>194.49720000000022</v>
      </c>
      <c r="J14">
        <f>H14*N31</f>
        <v>154.16487000000015</v>
      </c>
      <c r="K14">
        <v>0</v>
      </c>
      <c r="L14">
        <f>H14*N33</f>
        <v>94.745700000000099</v>
      </c>
      <c r="M14">
        <v>0</v>
      </c>
      <c r="N14">
        <f>H14*N35</f>
        <v>10.764900000000011</v>
      </c>
      <c r="O14">
        <v>0</v>
      </c>
      <c r="P14">
        <f>H14*N37</f>
        <v>25.045200000000026</v>
      </c>
      <c r="Q14">
        <v>0</v>
      </c>
      <c r="R14">
        <f>R13+I14+J14+L14+N14+P14</f>
        <v>6004.1445799999983</v>
      </c>
    </row>
    <row r="15" spans="3:20" x14ac:dyDescent="0.3">
      <c r="F15">
        <v>70.900000000000006</v>
      </c>
      <c r="G15">
        <v>70.900000000000006</v>
      </c>
      <c r="H15">
        <f t="shared" si="0"/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8">
        <f>R14</f>
        <v>6004.1445799999983</v>
      </c>
      <c r="S15" s="8"/>
    </row>
    <row r="16" spans="3:20" x14ac:dyDescent="0.3">
      <c r="F16">
        <v>70.900000000000006</v>
      </c>
      <c r="G16">
        <v>111.5</v>
      </c>
      <c r="H16">
        <f t="shared" si="0"/>
        <v>40.599999999999994</v>
      </c>
      <c r="I16">
        <f>H16*N30</f>
        <v>974.88719999999989</v>
      </c>
      <c r="J16">
        <f>H16*N31</f>
        <v>772.72761999999977</v>
      </c>
      <c r="K16">
        <f>H16*N32</f>
        <v>6741.9953999999989</v>
      </c>
      <c r="L16">
        <v>0</v>
      </c>
      <c r="M16">
        <v>0</v>
      </c>
      <c r="N16">
        <f>H16*N35</f>
        <v>53.957399999999993</v>
      </c>
      <c r="O16">
        <v>0</v>
      </c>
      <c r="P16">
        <f>H16*N37</f>
        <v>125.53519999999999</v>
      </c>
      <c r="Q16">
        <v>0</v>
      </c>
      <c r="R16">
        <f>R14+I16+J16+K16+N16+P16</f>
        <v>14673.247399999997</v>
      </c>
    </row>
    <row r="17" spans="6:19" x14ac:dyDescent="0.3">
      <c r="F17">
        <v>111.5</v>
      </c>
      <c r="G17">
        <v>114</v>
      </c>
      <c r="H17">
        <f t="shared" si="0"/>
        <v>2.5</v>
      </c>
      <c r="I17">
        <f xml:space="preserve"> H17*N30</f>
        <v>60.03</v>
      </c>
      <c r="J17">
        <f>H17*N31</f>
        <v>47.58175</v>
      </c>
      <c r="K17">
        <v>0</v>
      </c>
      <c r="L17">
        <v>0</v>
      </c>
      <c r="M17">
        <v>0</v>
      </c>
      <c r="N17">
        <f>H17*N35</f>
        <v>3.3224999999999998</v>
      </c>
      <c r="O17">
        <v>0</v>
      </c>
      <c r="P17">
        <f>H17*N37</f>
        <v>7.73</v>
      </c>
      <c r="Q17">
        <v>0</v>
      </c>
      <c r="R17">
        <f>R16+I17+J17+N17+P17</f>
        <v>14791.911649999996</v>
      </c>
    </row>
    <row r="18" spans="6:19" x14ac:dyDescent="0.3">
      <c r="F18">
        <v>114</v>
      </c>
      <c r="G18">
        <v>144</v>
      </c>
      <c r="H18">
        <f t="shared" si="0"/>
        <v>30</v>
      </c>
      <c r="I18">
        <f>H18*N30</f>
        <v>720.36</v>
      </c>
      <c r="J18">
        <f>H18*N31</f>
        <v>570.98099999999999</v>
      </c>
      <c r="K18">
        <v>0</v>
      </c>
      <c r="L18">
        <v>0</v>
      </c>
      <c r="M18">
        <v>0</v>
      </c>
      <c r="N18">
        <v>0</v>
      </c>
      <c r="O18">
        <v>0</v>
      </c>
      <c r="P18">
        <f>H18*N37</f>
        <v>92.76</v>
      </c>
      <c r="Q18">
        <v>0</v>
      </c>
      <c r="R18">
        <f>R17+I18+J18+P18</f>
        <v>16176.012649999997</v>
      </c>
    </row>
    <row r="19" spans="6:19" x14ac:dyDescent="0.3">
      <c r="F19">
        <v>144</v>
      </c>
      <c r="G19">
        <v>149.19999999999999</v>
      </c>
      <c r="H19">
        <f t="shared" si="0"/>
        <v>5.1999999999999886</v>
      </c>
      <c r="I19">
        <f>H19*N30</f>
        <v>124.86239999999972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>H19*N37</f>
        <v>16.078399999999966</v>
      </c>
      <c r="Q19">
        <v>0</v>
      </c>
      <c r="R19">
        <f>R18+I19+P19</f>
        <v>16316.953449999997</v>
      </c>
    </row>
    <row r="20" spans="6:19" x14ac:dyDescent="0.3">
      <c r="F20">
        <v>149.19999999999999</v>
      </c>
      <c r="G20">
        <v>169.2</v>
      </c>
      <c r="H20">
        <f t="shared" si="0"/>
        <v>20</v>
      </c>
      <c r="I20">
        <f>H20*N30</f>
        <v>480.24</v>
      </c>
      <c r="J20">
        <v>0</v>
      </c>
      <c r="K20">
        <v>0</v>
      </c>
      <c r="L20">
        <v>0</v>
      </c>
      <c r="M20">
        <v>0</v>
      </c>
      <c r="N20">
        <v>0</v>
      </c>
      <c r="O20">
        <f>H20*N36</f>
        <v>1395.3999999999999</v>
      </c>
      <c r="P20">
        <f>H20*N37</f>
        <v>61.84</v>
      </c>
      <c r="Q20">
        <v>0</v>
      </c>
      <c r="R20">
        <f xml:space="preserve"> R19+I20+O20+P20</f>
        <v>18254.43345</v>
      </c>
    </row>
    <row r="21" spans="6:19" x14ac:dyDescent="0.3">
      <c r="F21">
        <v>169.2</v>
      </c>
      <c r="G21">
        <v>173.5</v>
      </c>
      <c r="H21">
        <f t="shared" si="0"/>
        <v>4.3000000000000114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H21*N36</f>
        <v>300.01100000000076</v>
      </c>
      <c r="P21">
        <f>H21*N37</f>
        <v>13.295600000000036</v>
      </c>
      <c r="Q21">
        <v>0</v>
      </c>
      <c r="R21">
        <f>R20+O21+P21</f>
        <v>18567.740050000004</v>
      </c>
    </row>
    <row r="22" spans="6:19" x14ac:dyDescent="0.3">
      <c r="F22">
        <v>173.5</v>
      </c>
      <c r="G22">
        <v>173.5</v>
      </c>
      <c r="H22">
        <f t="shared" si="0"/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8">
        <f>R21</f>
        <v>18567.740050000004</v>
      </c>
      <c r="S22" s="8"/>
    </row>
    <row r="23" spans="6:19" x14ac:dyDescent="0.3">
      <c r="F23">
        <v>173.5</v>
      </c>
      <c r="G23">
        <v>279.5</v>
      </c>
      <c r="H23">
        <f t="shared" si="0"/>
        <v>106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8">
        <f>R21</f>
        <v>18567.740050000004</v>
      </c>
    </row>
    <row r="24" spans="6:19" x14ac:dyDescent="0.3">
      <c r="F24">
        <v>279.5</v>
      </c>
      <c r="G24">
        <v>440</v>
      </c>
      <c r="H24">
        <f t="shared" si="0"/>
        <v>160.5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f>H24*N38</f>
        <v>2141.0700000000002</v>
      </c>
      <c r="R24">
        <f>R23+Q24</f>
        <v>20708.810050000004</v>
      </c>
    </row>
    <row r="27" spans="6:19" ht="17.399999999999999" customHeight="1" thickBot="1" x14ac:dyDescent="0.35">
      <c r="O27" s="8"/>
      <c r="P27" s="8"/>
      <c r="Q27" s="8"/>
      <c r="R27" s="12" t="s">
        <v>42</v>
      </c>
      <c r="S27" s="8"/>
    </row>
    <row r="28" spans="6:19" ht="15.6" x14ac:dyDescent="0.3">
      <c r="H28" s="17" t="s">
        <v>11</v>
      </c>
      <c r="I28" s="15" t="s">
        <v>12</v>
      </c>
      <c r="J28" s="15" t="s">
        <v>13</v>
      </c>
      <c r="K28" s="17" t="s">
        <v>14</v>
      </c>
      <c r="L28" s="4" t="s">
        <v>16</v>
      </c>
      <c r="M28" s="15" t="s">
        <v>18</v>
      </c>
      <c r="N28" s="15" t="s">
        <v>19</v>
      </c>
      <c r="O28" s="8"/>
      <c r="P28" s="8"/>
      <c r="Q28" s="8"/>
      <c r="R28" s="8"/>
      <c r="S28" s="8"/>
    </row>
    <row r="29" spans="6:19" ht="16.2" thickBot="1" x14ac:dyDescent="0.35">
      <c r="H29" s="18"/>
      <c r="I29" s="16"/>
      <c r="J29" s="16"/>
      <c r="K29" s="18"/>
      <c r="L29" s="5" t="s">
        <v>17</v>
      </c>
      <c r="M29" s="16"/>
      <c r="N29" s="16"/>
      <c r="O29" s="8"/>
      <c r="P29" s="8"/>
      <c r="Q29" s="8"/>
      <c r="R29" s="8"/>
      <c r="S29" s="8"/>
    </row>
    <row r="30" spans="6:19" ht="16.2" thickBot="1" x14ac:dyDescent="0.35">
      <c r="H30" s="2">
        <v>1</v>
      </c>
      <c r="I30" s="3" t="s">
        <v>15</v>
      </c>
      <c r="J30" s="9">
        <v>169.2</v>
      </c>
      <c r="K30" s="9">
        <v>30.5</v>
      </c>
      <c r="L30" s="3">
        <v>5.44</v>
      </c>
      <c r="M30" s="3">
        <v>4.4139999999999997</v>
      </c>
      <c r="N30" s="3">
        <v>24.012</v>
      </c>
      <c r="O30" s="8"/>
      <c r="P30" s="8"/>
      <c r="Q30" s="8"/>
    </row>
    <row r="31" spans="6:19" ht="16.2" thickBot="1" x14ac:dyDescent="0.35">
      <c r="H31" s="2">
        <v>2</v>
      </c>
      <c r="I31" s="3" t="s">
        <v>15</v>
      </c>
      <c r="J31" s="9">
        <v>144</v>
      </c>
      <c r="K31" s="9">
        <v>31.5</v>
      </c>
      <c r="L31" s="3">
        <v>1.45</v>
      </c>
      <c r="M31" s="3">
        <v>13.125999999999999</v>
      </c>
      <c r="N31" s="3">
        <v>19.032699999999998</v>
      </c>
      <c r="O31" s="8"/>
      <c r="P31" s="8"/>
      <c r="Q31" s="8"/>
    </row>
    <row r="32" spans="6:19" ht="16.2" thickBot="1" x14ac:dyDescent="0.35">
      <c r="H32" s="2">
        <v>3</v>
      </c>
      <c r="I32" s="3" t="s">
        <v>15</v>
      </c>
      <c r="J32" s="9">
        <v>111.5</v>
      </c>
      <c r="K32" s="9">
        <v>70.900000000000006</v>
      </c>
      <c r="L32" s="3">
        <v>22.59</v>
      </c>
      <c r="M32" s="3">
        <v>7.351</v>
      </c>
      <c r="N32" s="3">
        <v>166.059</v>
      </c>
      <c r="O32" s="8"/>
      <c r="P32" s="8"/>
      <c r="Q32" s="8"/>
    </row>
    <row r="33" spans="7:17" ht="16.2" thickBot="1" x14ac:dyDescent="0.35">
      <c r="H33" s="2">
        <v>4</v>
      </c>
      <c r="I33" s="3" t="s">
        <v>15</v>
      </c>
      <c r="J33" s="9">
        <v>70.900000000000006</v>
      </c>
      <c r="K33" s="9">
        <v>45</v>
      </c>
      <c r="L33" s="3">
        <v>4.62</v>
      </c>
      <c r="M33" s="3">
        <v>2.532</v>
      </c>
      <c r="N33" s="3">
        <v>11.696999999999999</v>
      </c>
      <c r="O33" s="8"/>
      <c r="P33" s="8"/>
      <c r="Q33" s="8"/>
    </row>
    <row r="34" spans="7:17" ht="16.2" thickBot="1" x14ac:dyDescent="0.35">
      <c r="H34" s="2">
        <v>5</v>
      </c>
      <c r="I34" s="3" t="s">
        <v>15</v>
      </c>
      <c r="J34" s="9">
        <v>62.8</v>
      </c>
      <c r="K34" s="9">
        <v>60.4</v>
      </c>
      <c r="L34" s="3">
        <v>11.84</v>
      </c>
      <c r="M34" s="3">
        <v>135.71700000000001</v>
      </c>
      <c r="N34" s="3">
        <v>1606.8889999999999</v>
      </c>
      <c r="O34" s="8"/>
      <c r="P34" s="8"/>
      <c r="Q34" s="8"/>
    </row>
    <row r="35" spans="7:17" ht="16.2" thickBot="1" x14ac:dyDescent="0.35">
      <c r="H35" s="2">
        <v>6</v>
      </c>
      <c r="I35" s="3" t="s">
        <v>15</v>
      </c>
      <c r="J35" s="9">
        <v>114</v>
      </c>
      <c r="K35" s="9">
        <v>27.8</v>
      </c>
      <c r="L35" s="3">
        <v>0.6</v>
      </c>
      <c r="M35" s="3">
        <v>2.2149999999999999</v>
      </c>
      <c r="N35" s="3">
        <v>1.329</v>
      </c>
      <c r="O35" s="8"/>
      <c r="P35" s="8"/>
      <c r="Q35" s="8"/>
    </row>
    <row r="36" spans="7:17" ht="16.2" thickBot="1" x14ac:dyDescent="0.35">
      <c r="H36" s="2">
        <v>7</v>
      </c>
      <c r="I36" s="3" t="s">
        <v>15</v>
      </c>
      <c r="J36" s="9">
        <v>173.5</v>
      </c>
      <c r="K36" s="9">
        <v>149.19999999999999</v>
      </c>
      <c r="L36" s="3">
        <v>26.98</v>
      </c>
      <c r="M36" s="3">
        <v>2.5859999999999999</v>
      </c>
      <c r="N36" s="3">
        <v>69.77</v>
      </c>
      <c r="O36" s="8"/>
      <c r="P36" s="8"/>
      <c r="Q36" s="8"/>
    </row>
    <row r="37" spans="7:17" ht="16.2" thickBot="1" x14ac:dyDescent="0.35">
      <c r="H37" s="2">
        <v>8</v>
      </c>
      <c r="I37" s="3" t="s">
        <v>15</v>
      </c>
      <c r="J37" s="9">
        <v>173.5</v>
      </c>
      <c r="K37" s="9">
        <v>49.1</v>
      </c>
      <c r="L37" s="3">
        <v>1.4</v>
      </c>
      <c r="M37" s="3">
        <v>2.2090000000000001</v>
      </c>
      <c r="N37" s="3">
        <v>3.0920000000000001</v>
      </c>
      <c r="O37" s="8"/>
      <c r="P37" s="8"/>
      <c r="Q37" s="8"/>
    </row>
    <row r="38" spans="7:17" ht="16.2" thickBot="1" x14ac:dyDescent="0.35">
      <c r="H38" s="2">
        <v>9</v>
      </c>
      <c r="I38" s="3" t="s">
        <v>15</v>
      </c>
      <c r="J38" s="3">
        <v>440</v>
      </c>
      <c r="K38" s="3">
        <v>279.5</v>
      </c>
      <c r="L38" s="3">
        <v>10.92</v>
      </c>
      <c r="M38" s="3">
        <v>1.222</v>
      </c>
      <c r="N38" s="3">
        <v>13.34</v>
      </c>
    </row>
    <row r="42" spans="7:17" x14ac:dyDescent="0.3">
      <c r="G42" s="11" t="s">
        <v>25</v>
      </c>
      <c r="H42" s="8"/>
    </row>
    <row r="43" spans="7:17" x14ac:dyDescent="0.3">
      <c r="G43" s="8"/>
      <c r="H43" s="8"/>
    </row>
    <row r="44" spans="7:17" x14ac:dyDescent="0.3">
      <c r="G44" s="8" t="s">
        <v>26</v>
      </c>
      <c r="H44" s="8" t="s">
        <v>27</v>
      </c>
    </row>
    <row r="45" spans="7:17" x14ac:dyDescent="0.3">
      <c r="G45" s="8">
        <v>0</v>
      </c>
      <c r="H45" s="8">
        <v>27.8</v>
      </c>
    </row>
    <row r="46" spans="7:17" x14ac:dyDescent="0.3">
      <c r="G46" s="8">
        <v>3.5882999999999998</v>
      </c>
      <c r="H46" s="8">
        <v>30.5</v>
      </c>
    </row>
    <row r="47" spans="7:17" x14ac:dyDescent="0.3">
      <c r="G47" s="8">
        <v>28.929300000000001</v>
      </c>
      <c r="H47" s="8">
        <v>31.5</v>
      </c>
    </row>
    <row r="48" spans="7:17" x14ac:dyDescent="0.3">
      <c r="G48" s="8">
        <v>627.97424999999998</v>
      </c>
      <c r="H48" s="8">
        <v>45</v>
      </c>
    </row>
    <row r="49" spans="7:8" x14ac:dyDescent="0.3">
      <c r="G49" s="8">
        <v>857.86411999999996</v>
      </c>
      <c r="H49" s="8">
        <v>49.1</v>
      </c>
    </row>
    <row r="50" spans="7:8" x14ac:dyDescent="0.3">
      <c r="G50" s="8">
        <v>1526.40263</v>
      </c>
      <c r="H50" s="8">
        <v>60.4</v>
      </c>
    </row>
    <row r="51" spans="7:8" x14ac:dyDescent="0.3">
      <c r="G51" s="8">
        <v>5524.9267099999997</v>
      </c>
      <c r="H51" s="8">
        <v>62.8</v>
      </c>
    </row>
    <row r="52" spans="7:8" x14ac:dyDescent="0.3">
      <c r="G52" s="8">
        <v>6004.1445800000001</v>
      </c>
      <c r="H52" s="8">
        <v>70.900000000000006</v>
      </c>
    </row>
    <row r="53" spans="7:8" x14ac:dyDescent="0.3">
      <c r="G53" s="8">
        <v>14673.2474</v>
      </c>
      <c r="H53" s="8">
        <v>111.5</v>
      </c>
    </row>
    <row r="54" spans="7:8" x14ac:dyDescent="0.3">
      <c r="G54" s="8">
        <v>14791.91165</v>
      </c>
      <c r="H54" s="8">
        <v>114</v>
      </c>
    </row>
    <row r="55" spans="7:8" x14ac:dyDescent="0.3">
      <c r="G55" s="8">
        <v>16176.012650000001</v>
      </c>
      <c r="H55" s="8">
        <v>144</v>
      </c>
    </row>
    <row r="56" spans="7:8" x14ac:dyDescent="0.3">
      <c r="G56" s="8">
        <v>16316.953450000001</v>
      </c>
      <c r="H56" s="8">
        <v>149.19999999999999</v>
      </c>
    </row>
    <row r="57" spans="7:8" x14ac:dyDescent="0.3">
      <c r="G57" s="8">
        <v>18254.43345</v>
      </c>
      <c r="H57" s="8">
        <v>169.2</v>
      </c>
    </row>
    <row r="58" spans="7:8" x14ac:dyDescent="0.3">
      <c r="G58" s="8">
        <v>18567.74005</v>
      </c>
      <c r="H58" s="8">
        <v>173.5</v>
      </c>
    </row>
    <row r="59" spans="7:8" x14ac:dyDescent="0.3">
      <c r="G59" s="8">
        <v>18567.74005</v>
      </c>
      <c r="H59" s="8">
        <v>279.5</v>
      </c>
    </row>
    <row r="60" spans="7:8" x14ac:dyDescent="0.3">
      <c r="G60" s="8">
        <v>20708.8</v>
      </c>
      <c r="H60" s="8">
        <v>440</v>
      </c>
    </row>
  </sheetData>
  <mergeCells count="8">
    <mergeCell ref="G2:R2"/>
    <mergeCell ref="M28:M29"/>
    <mergeCell ref="N28:N29"/>
    <mergeCell ref="F6:G6"/>
    <mergeCell ref="H28:H29"/>
    <mergeCell ref="I28:I29"/>
    <mergeCell ref="J28:J29"/>
    <mergeCell ref="K28:K29"/>
  </mergeCells>
  <pageMargins left="0.7" right="0.7" top="0.75" bottom="0.75" header="0.3" footer="0.3"/>
  <pageSetup paperSiz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55"/>
  <sheetViews>
    <sheetView topLeftCell="A39" zoomScale="85" zoomScaleNormal="85" workbookViewId="0">
      <selection activeCell="N4" sqref="N4"/>
    </sheetView>
  </sheetViews>
  <sheetFormatPr defaultRowHeight="14.4" x14ac:dyDescent="0.3"/>
  <cols>
    <col min="3" max="3" width="14.77734375" customWidth="1"/>
    <col min="4" max="4" width="16.109375" customWidth="1"/>
    <col min="5" max="5" width="12.33203125" customWidth="1"/>
    <col min="6" max="6" width="12.5546875" customWidth="1"/>
    <col min="7" max="7" width="14.21875" customWidth="1"/>
    <col min="8" max="8" width="14.33203125" customWidth="1"/>
    <col min="9" max="9" width="17.33203125" customWidth="1"/>
    <col min="10" max="10" width="12.88671875" customWidth="1"/>
    <col min="11" max="11" width="11.6640625" customWidth="1"/>
    <col min="12" max="12" width="12.5546875" customWidth="1"/>
    <col min="13" max="13" width="11.33203125" customWidth="1"/>
    <col min="14" max="14" width="30" customWidth="1"/>
    <col min="15" max="15" width="31.33203125" customWidth="1"/>
  </cols>
  <sheetData>
    <row r="2" spans="3:14" x14ac:dyDescent="0.3">
      <c r="C2" s="14" t="s">
        <v>62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3:14" ht="15" thickBot="1" x14ac:dyDescent="0.35"/>
    <row r="4" spans="3:14" ht="30.6" customHeight="1" x14ac:dyDescent="0.3">
      <c r="C4" s="17" t="s">
        <v>11</v>
      </c>
      <c r="D4" s="15" t="s">
        <v>12</v>
      </c>
      <c r="E4" s="15" t="s">
        <v>13</v>
      </c>
      <c r="F4" s="17" t="s">
        <v>14</v>
      </c>
      <c r="G4" s="4" t="s">
        <v>16</v>
      </c>
      <c r="H4" s="15" t="s">
        <v>18</v>
      </c>
      <c r="I4" s="15" t="s">
        <v>19</v>
      </c>
    </row>
    <row r="5" spans="3:14" ht="16.2" thickBot="1" x14ac:dyDescent="0.35">
      <c r="C5" s="18"/>
      <c r="D5" s="16"/>
      <c r="E5" s="16"/>
      <c r="F5" s="18"/>
      <c r="G5" s="5" t="s">
        <v>17</v>
      </c>
      <c r="H5" s="16"/>
      <c r="I5" s="16"/>
    </row>
    <row r="6" spans="3:14" ht="16.2" thickBot="1" x14ac:dyDescent="0.35">
      <c r="C6" s="7">
        <v>10</v>
      </c>
      <c r="D6" s="3" t="s">
        <v>28</v>
      </c>
      <c r="E6" s="3">
        <v>38.4</v>
      </c>
      <c r="F6" s="3">
        <v>147.6</v>
      </c>
      <c r="G6" s="3">
        <v>7.19</v>
      </c>
      <c r="H6" s="3">
        <v>2.161</v>
      </c>
      <c r="I6" s="10">
        <f>$G6*$H6</f>
        <v>15.537590000000002</v>
      </c>
    </row>
    <row r="7" spans="3:14" ht="16.2" thickBot="1" x14ac:dyDescent="0.35">
      <c r="C7" s="7">
        <v>11</v>
      </c>
      <c r="D7" s="3" t="s">
        <v>28</v>
      </c>
      <c r="E7" s="3">
        <v>230.7</v>
      </c>
      <c r="F7" s="3">
        <v>234.1</v>
      </c>
      <c r="G7" s="3">
        <v>119.95</v>
      </c>
      <c r="H7" s="3">
        <v>22.616</v>
      </c>
      <c r="I7" s="10">
        <f t="shared" ref="I7:I13" si="0">$G7*$H7</f>
        <v>2712.7892000000002</v>
      </c>
    </row>
    <row r="8" spans="3:14" ht="16.2" thickBot="1" x14ac:dyDescent="0.35">
      <c r="C8" s="7">
        <v>12</v>
      </c>
      <c r="D8" s="3" t="s">
        <v>28</v>
      </c>
      <c r="E8" s="3">
        <v>175.7</v>
      </c>
      <c r="F8" s="3">
        <v>176.6</v>
      </c>
      <c r="G8" s="3">
        <v>72.06</v>
      </c>
      <c r="H8" s="3">
        <v>103.146</v>
      </c>
      <c r="I8" s="10">
        <f t="shared" si="0"/>
        <v>7432.7007600000006</v>
      </c>
    </row>
    <row r="9" spans="3:14" ht="16.2" thickBot="1" x14ac:dyDescent="0.35">
      <c r="C9" s="7">
        <v>13</v>
      </c>
      <c r="D9" s="3" t="s">
        <v>28</v>
      </c>
      <c r="E9" s="3">
        <v>209.4</v>
      </c>
      <c r="F9" s="3">
        <v>218</v>
      </c>
      <c r="G9" s="3">
        <v>11.99</v>
      </c>
      <c r="H9" s="3">
        <v>3.5539999999999998</v>
      </c>
      <c r="I9" s="10">
        <f t="shared" si="0"/>
        <v>42.612459999999999</v>
      </c>
    </row>
    <row r="10" spans="3:14" ht="16.2" thickBot="1" x14ac:dyDescent="0.35">
      <c r="C10" s="7">
        <v>14</v>
      </c>
      <c r="D10" s="3" t="s">
        <v>28</v>
      </c>
      <c r="E10" s="3">
        <v>90.1</v>
      </c>
      <c r="F10" s="3">
        <v>91.1</v>
      </c>
      <c r="G10" s="3">
        <v>21.17</v>
      </c>
      <c r="H10" s="3">
        <v>58.006999999999998</v>
      </c>
      <c r="I10" s="10">
        <f t="shared" si="0"/>
        <v>1228.00819</v>
      </c>
    </row>
    <row r="11" spans="3:14" ht="16.2" thickBot="1" x14ac:dyDescent="0.35">
      <c r="C11" s="7">
        <v>15</v>
      </c>
      <c r="D11" s="3" t="s">
        <v>28</v>
      </c>
      <c r="E11" s="3">
        <v>114.1</v>
      </c>
      <c r="F11" s="3">
        <v>122.4</v>
      </c>
      <c r="G11" s="3">
        <v>50.37</v>
      </c>
      <c r="H11" s="3">
        <v>8.8019999999999996</v>
      </c>
      <c r="I11" s="10">
        <f t="shared" si="0"/>
        <v>443.35673999999995</v>
      </c>
    </row>
    <row r="12" spans="3:14" ht="16.2" thickBot="1" x14ac:dyDescent="0.35">
      <c r="C12" s="7">
        <v>16</v>
      </c>
      <c r="D12" s="3" t="s">
        <v>28</v>
      </c>
      <c r="E12" s="3">
        <v>-28.4</v>
      </c>
      <c r="F12" s="3">
        <v>20</v>
      </c>
      <c r="G12" s="3">
        <v>0.9</v>
      </c>
      <c r="H12" s="3">
        <v>8.5120000000000005</v>
      </c>
      <c r="I12" s="10">
        <f t="shared" si="0"/>
        <v>7.6608000000000009</v>
      </c>
    </row>
    <row r="13" spans="3:14" ht="16.2" thickBot="1" x14ac:dyDescent="0.35">
      <c r="C13" s="7">
        <v>17</v>
      </c>
      <c r="D13" s="3" t="s">
        <v>28</v>
      </c>
      <c r="E13" s="3">
        <v>77</v>
      </c>
      <c r="F13" s="3">
        <v>250</v>
      </c>
      <c r="G13" s="3">
        <v>0.83</v>
      </c>
      <c r="H13" s="3">
        <v>14.972</v>
      </c>
      <c r="I13" s="10">
        <f t="shared" si="0"/>
        <v>12.42676</v>
      </c>
    </row>
    <row r="17" spans="4:15" x14ac:dyDescent="0.3">
      <c r="D17" s="14" t="s">
        <v>2</v>
      </c>
      <c r="E17" s="14"/>
      <c r="F17" s="6" t="s">
        <v>10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34</v>
      </c>
      <c r="M17" s="6" t="s">
        <v>35</v>
      </c>
      <c r="N17" s="6" t="s">
        <v>37</v>
      </c>
      <c r="O17" s="6" t="s">
        <v>36</v>
      </c>
    </row>
    <row r="18" spans="4:15" x14ac:dyDescent="0.3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4:15" x14ac:dyDescent="0.3">
      <c r="D19">
        <v>-28.4</v>
      </c>
      <c r="E19">
        <v>20</v>
      </c>
      <c r="F19">
        <f>$E19-$D19</f>
        <v>48.4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f>F19*I12</f>
        <v>370.78272000000004</v>
      </c>
      <c r="N19">
        <v>0</v>
      </c>
      <c r="O19">
        <f>M19</f>
        <v>370.78272000000004</v>
      </c>
    </row>
    <row r="20" spans="4:15" x14ac:dyDescent="0.3">
      <c r="D20">
        <v>20</v>
      </c>
      <c r="E20">
        <v>38.4</v>
      </c>
      <c r="F20" s="8">
        <f t="shared" ref="F20:F33" si="1">$E20-$D20</f>
        <v>18.399999999999999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8">
        <f>O19</f>
        <v>370.78272000000004</v>
      </c>
    </row>
    <row r="21" spans="4:15" x14ac:dyDescent="0.3">
      <c r="D21">
        <v>38.4</v>
      </c>
      <c r="E21">
        <v>77</v>
      </c>
      <c r="F21" s="8">
        <f t="shared" si="1"/>
        <v>38.6</v>
      </c>
      <c r="G21">
        <f>F21*I6</f>
        <v>599.75097400000004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O20+G21</f>
        <v>970.53369400000008</v>
      </c>
    </row>
    <row r="22" spans="4:15" x14ac:dyDescent="0.3">
      <c r="D22">
        <v>77</v>
      </c>
      <c r="E22">
        <v>90.1</v>
      </c>
      <c r="F22" s="8">
        <f t="shared" si="1"/>
        <v>13.099999999999994</v>
      </c>
      <c r="G22">
        <f>F22*I6</f>
        <v>203.54242899999994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>F22*I13</f>
        <v>162.79055599999992</v>
      </c>
      <c r="O22">
        <f>O21+G22+N22</f>
        <v>1336.866679</v>
      </c>
    </row>
    <row r="23" spans="4:15" x14ac:dyDescent="0.3">
      <c r="D23">
        <v>90.1</v>
      </c>
      <c r="E23">
        <v>91.1</v>
      </c>
      <c r="F23" s="8">
        <f t="shared" si="1"/>
        <v>1</v>
      </c>
      <c r="G23">
        <f>F23*I6</f>
        <v>15.537590000000002</v>
      </c>
      <c r="H23">
        <v>0</v>
      </c>
      <c r="I23">
        <v>0</v>
      </c>
      <c r="J23">
        <v>0</v>
      </c>
      <c r="K23">
        <f>F23*I10</f>
        <v>1228.00819</v>
      </c>
      <c r="L23">
        <v>0</v>
      </c>
      <c r="M23">
        <v>0</v>
      </c>
      <c r="N23">
        <f>F23*I13</f>
        <v>12.42676</v>
      </c>
      <c r="O23">
        <f>O22+G23+K23+N23</f>
        <v>2592.839219</v>
      </c>
    </row>
    <row r="24" spans="4:15" x14ac:dyDescent="0.3">
      <c r="D24">
        <v>91.1</v>
      </c>
      <c r="E24">
        <v>114.1</v>
      </c>
      <c r="F24" s="8">
        <f t="shared" si="1"/>
        <v>23</v>
      </c>
      <c r="G24">
        <f>F24*I6</f>
        <v>357.36457000000001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>F24*I13</f>
        <v>285.81547999999998</v>
      </c>
      <c r="O24">
        <f>O23+G24+N24</f>
        <v>3236.0192690000003</v>
      </c>
    </row>
    <row r="25" spans="4:15" x14ac:dyDescent="0.3">
      <c r="D25">
        <v>114.1</v>
      </c>
      <c r="E25">
        <v>122.4</v>
      </c>
      <c r="F25" s="8">
        <f t="shared" si="1"/>
        <v>8.3000000000000114</v>
      </c>
      <c r="G25">
        <f>F25*I6</f>
        <v>128.9619970000002</v>
      </c>
      <c r="H25">
        <v>0</v>
      </c>
      <c r="I25">
        <v>0</v>
      </c>
      <c r="J25">
        <v>0</v>
      </c>
      <c r="K25">
        <v>0</v>
      </c>
      <c r="L25">
        <f>F25*I11</f>
        <v>3679.8609420000048</v>
      </c>
      <c r="M25">
        <v>0</v>
      </c>
      <c r="N25">
        <f>F25*I13</f>
        <v>103.14210800000014</v>
      </c>
      <c r="O25">
        <f>O24+G25+L25+N25</f>
        <v>7147.9843160000055</v>
      </c>
    </row>
    <row r="26" spans="4:15" x14ac:dyDescent="0.3">
      <c r="D26">
        <v>122.4</v>
      </c>
      <c r="E26">
        <v>147.6</v>
      </c>
      <c r="F26" s="8">
        <f t="shared" si="1"/>
        <v>25.199999999999989</v>
      </c>
      <c r="G26">
        <f>F26*I6</f>
        <v>391.54726799999986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f>F26*I13</f>
        <v>313.15435199999985</v>
      </c>
      <c r="O26">
        <f>O25+G26+N26</f>
        <v>7852.6859360000053</v>
      </c>
    </row>
    <row r="27" spans="4:15" x14ac:dyDescent="0.3">
      <c r="D27">
        <v>147.6</v>
      </c>
      <c r="E27">
        <v>175.7</v>
      </c>
      <c r="F27" s="8">
        <f t="shared" si="1"/>
        <v>28.099999999999994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f>F27*I13</f>
        <v>349.19195599999995</v>
      </c>
      <c r="O27">
        <f>O26+N27</f>
        <v>8201.8778920000059</v>
      </c>
    </row>
    <row r="28" spans="4:15" x14ac:dyDescent="0.3">
      <c r="D28">
        <v>175.7</v>
      </c>
      <c r="E28">
        <v>176.6</v>
      </c>
      <c r="F28" s="8">
        <f t="shared" si="1"/>
        <v>0.90000000000000568</v>
      </c>
      <c r="G28">
        <v>0</v>
      </c>
      <c r="H28">
        <v>0</v>
      </c>
      <c r="I28">
        <f>F28*I8</f>
        <v>6689.4306840000427</v>
      </c>
      <c r="J28">
        <v>0</v>
      </c>
      <c r="K28">
        <v>0</v>
      </c>
      <c r="L28">
        <v>0</v>
      </c>
      <c r="M28">
        <v>0</v>
      </c>
      <c r="N28">
        <f>F28*I13</f>
        <v>11.18408400000007</v>
      </c>
      <c r="O28">
        <f>O27+I28+N28</f>
        <v>14902.492660000049</v>
      </c>
    </row>
    <row r="29" spans="4:15" x14ac:dyDescent="0.3">
      <c r="D29">
        <v>176.6</v>
      </c>
      <c r="E29">
        <v>209.4</v>
      </c>
      <c r="F29" s="8">
        <f t="shared" si="1"/>
        <v>32.800000000000011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f>F29*I13</f>
        <v>407.59772800000013</v>
      </c>
      <c r="O29">
        <f>O28+N29</f>
        <v>15310.09038800005</v>
      </c>
    </row>
    <row r="30" spans="4:15" x14ac:dyDescent="0.3">
      <c r="D30">
        <v>209.4</v>
      </c>
      <c r="E30">
        <v>218</v>
      </c>
      <c r="F30" s="8">
        <f t="shared" si="1"/>
        <v>8.5999999999999943</v>
      </c>
      <c r="G30">
        <v>0</v>
      </c>
      <c r="H30">
        <v>0</v>
      </c>
      <c r="I30">
        <v>0</v>
      </c>
      <c r="J30">
        <f>F30*I9</f>
        <v>366.46715599999976</v>
      </c>
      <c r="K30">
        <v>0</v>
      </c>
      <c r="L30">
        <v>0</v>
      </c>
      <c r="M30">
        <v>0</v>
      </c>
      <c r="N30">
        <f>F30*I13</f>
        <v>106.87013599999993</v>
      </c>
      <c r="O30">
        <f>O29+J30+N30</f>
        <v>15783.42768000005</v>
      </c>
    </row>
    <row r="31" spans="4:15" x14ac:dyDescent="0.3">
      <c r="D31">
        <v>218</v>
      </c>
      <c r="E31">
        <v>230.7</v>
      </c>
      <c r="F31" s="8">
        <f t="shared" si="1"/>
        <v>12.699999999999989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f>F31*I13</f>
        <v>157.81985199999986</v>
      </c>
      <c r="O31">
        <f>O30+N31</f>
        <v>15941.24753200005</v>
      </c>
    </row>
    <row r="32" spans="4:15" x14ac:dyDescent="0.3">
      <c r="D32">
        <v>230.7</v>
      </c>
      <c r="E32">
        <v>234.1</v>
      </c>
      <c r="F32" s="8">
        <f t="shared" si="1"/>
        <v>3.4000000000000057</v>
      </c>
      <c r="G32">
        <v>0</v>
      </c>
      <c r="H32">
        <f>F32*I7</f>
        <v>9223.4832800000167</v>
      </c>
      <c r="I32">
        <v>0</v>
      </c>
      <c r="J32">
        <v>0</v>
      </c>
      <c r="K32">
        <v>0</v>
      </c>
      <c r="L32">
        <v>0</v>
      </c>
      <c r="M32">
        <v>0</v>
      </c>
      <c r="N32">
        <f>F32*I13</f>
        <v>42.250984000000066</v>
      </c>
      <c r="O32">
        <f>O31+H32+N32</f>
        <v>25206.981796000066</v>
      </c>
    </row>
    <row r="33" spans="4:15" x14ac:dyDescent="0.3">
      <c r="D33">
        <v>234.1</v>
      </c>
      <c r="E33">
        <v>250</v>
      </c>
      <c r="F33" s="8">
        <f t="shared" si="1"/>
        <v>15.900000000000006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f>F33*I13</f>
        <v>197.58548400000006</v>
      </c>
      <c r="O33">
        <f>O32+N33</f>
        <v>25404.567280000065</v>
      </c>
    </row>
    <row r="35" spans="4:15" x14ac:dyDescent="0.3">
      <c r="O35" s="12" t="s">
        <v>43</v>
      </c>
    </row>
    <row r="37" spans="4:15" x14ac:dyDescent="0.3">
      <c r="G37" s="11" t="s">
        <v>25</v>
      </c>
    </row>
    <row r="38" spans="4:15" x14ac:dyDescent="0.3">
      <c r="G38" t="s">
        <v>24</v>
      </c>
      <c r="H38" t="s">
        <v>23</v>
      </c>
    </row>
    <row r="39" spans="4:15" x14ac:dyDescent="0.3">
      <c r="G39" t="s">
        <v>20</v>
      </c>
      <c r="H39" t="s">
        <v>21</v>
      </c>
    </row>
    <row r="40" spans="4:15" x14ac:dyDescent="0.3">
      <c r="G40">
        <v>0</v>
      </c>
      <c r="H40">
        <v>-28.4</v>
      </c>
    </row>
    <row r="41" spans="4:15" x14ac:dyDescent="0.3">
      <c r="G41">
        <v>370.78271999999998</v>
      </c>
      <c r="H41">
        <v>20</v>
      </c>
    </row>
    <row r="42" spans="4:15" x14ac:dyDescent="0.3">
      <c r="G42">
        <v>370.78271999999998</v>
      </c>
      <c r="H42">
        <v>38.4</v>
      </c>
    </row>
    <row r="43" spans="4:15" x14ac:dyDescent="0.3">
      <c r="G43">
        <v>970.53369399999997</v>
      </c>
      <c r="H43" s="8">
        <v>77</v>
      </c>
    </row>
    <row r="44" spans="4:15" x14ac:dyDescent="0.3">
      <c r="G44">
        <v>1336.866679</v>
      </c>
      <c r="H44" s="8">
        <v>90.1</v>
      </c>
    </row>
    <row r="45" spans="4:15" x14ac:dyDescent="0.3">
      <c r="G45">
        <v>2592.839219</v>
      </c>
      <c r="H45" s="8">
        <v>91.1</v>
      </c>
    </row>
    <row r="46" spans="4:15" x14ac:dyDescent="0.3">
      <c r="G46" s="8">
        <v>3236.0192689999999</v>
      </c>
      <c r="H46" s="8">
        <v>114.1</v>
      </c>
    </row>
    <row r="47" spans="4:15" x14ac:dyDescent="0.3">
      <c r="G47">
        <v>7147.984316</v>
      </c>
      <c r="H47" s="8">
        <v>122.4</v>
      </c>
    </row>
    <row r="48" spans="4:15" x14ac:dyDescent="0.3">
      <c r="G48">
        <v>7852.6859359999999</v>
      </c>
      <c r="H48" s="8">
        <v>147.6</v>
      </c>
    </row>
    <row r="49" spans="7:8" x14ac:dyDescent="0.3">
      <c r="G49">
        <v>8201.8778920000004</v>
      </c>
      <c r="H49" s="8">
        <v>175.7</v>
      </c>
    </row>
    <row r="50" spans="7:8" x14ac:dyDescent="0.3">
      <c r="G50">
        <v>14902.49266</v>
      </c>
      <c r="H50" s="8">
        <v>176.6</v>
      </c>
    </row>
    <row r="51" spans="7:8" x14ac:dyDescent="0.3">
      <c r="G51">
        <v>15310.090389999999</v>
      </c>
      <c r="H51" s="8">
        <v>209.4</v>
      </c>
    </row>
    <row r="52" spans="7:8" x14ac:dyDescent="0.3">
      <c r="G52">
        <v>15783.427680000001</v>
      </c>
      <c r="H52" s="8">
        <v>218</v>
      </c>
    </row>
    <row r="53" spans="7:8" x14ac:dyDescent="0.3">
      <c r="G53">
        <v>15941.247530000001</v>
      </c>
      <c r="H53" s="8">
        <v>230.7</v>
      </c>
    </row>
    <row r="54" spans="7:8" x14ac:dyDescent="0.3">
      <c r="G54">
        <v>25206.981800000001</v>
      </c>
      <c r="H54" s="8">
        <v>234.1</v>
      </c>
    </row>
    <row r="55" spans="7:8" x14ac:dyDescent="0.3">
      <c r="G55">
        <v>25404.567279999999</v>
      </c>
      <c r="H55" s="8">
        <v>250</v>
      </c>
    </row>
  </sheetData>
  <mergeCells count="8">
    <mergeCell ref="C2:N2"/>
    <mergeCell ref="H4:H5"/>
    <mergeCell ref="I4:I5"/>
    <mergeCell ref="D17:E17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O22"/>
  <sheetViews>
    <sheetView topLeftCell="A24" zoomScale="85" zoomScaleNormal="85" workbookViewId="0">
      <selection activeCell="J22" sqref="J22"/>
    </sheetView>
  </sheetViews>
  <sheetFormatPr defaultRowHeight="14.4" x14ac:dyDescent="0.3"/>
  <cols>
    <col min="5" max="5" width="8.33203125" customWidth="1"/>
    <col min="6" max="6" width="13.109375" customWidth="1"/>
    <col min="7" max="7" width="16" customWidth="1"/>
    <col min="13" max="13" width="15.33203125" customWidth="1"/>
  </cols>
  <sheetData>
    <row r="5" spans="5:15" x14ac:dyDescent="0.3">
      <c r="E5" s="14" t="s">
        <v>38</v>
      </c>
      <c r="F5" s="14"/>
      <c r="G5" s="14"/>
      <c r="H5" s="14"/>
      <c r="I5" s="14"/>
      <c r="K5" s="14" t="s">
        <v>39</v>
      </c>
      <c r="L5" s="14"/>
      <c r="M5" s="14"/>
      <c r="N5" s="14"/>
      <c r="O5" s="14"/>
    </row>
    <row r="6" spans="5:15" x14ac:dyDescent="0.3">
      <c r="F6" s="8" t="s">
        <v>26</v>
      </c>
      <c r="G6" s="8" t="s">
        <v>27</v>
      </c>
      <c r="M6" s="8" t="s">
        <v>40</v>
      </c>
      <c r="N6" s="8" t="s">
        <v>41</v>
      </c>
    </row>
    <row r="7" spans="5:15" x14ac:dyDescent="0.3">
      <c r="F7" s="8">
        <v>0</v>
      </c>
      <c r="G7" s="8">
        <v>27.8</v>
      </c>
      <c r="M7" s="8">
        <v>0</v>
      </c>
      <c r="N7" s="8">
        <v>-28.4</v>
      </c>
    </row>
    <row r="8" spans="5:15" x14ac:dyDescent="0.3">
      <c r="F8" s="8">
        <v>3.5882999999999998</v>
      </c>
      <c r="G8" s="8">
        <v>30.5</v>
      </c>
      <c r="M8" s="8">
        <v>370.78271999999998</v>
      </c>
      <c r="N8" s="8">
        <v>20</v>
      </c>
    </row>
    <row r="9" spans="5:15" x14ac:dyDescent="0.3">
      <c r="F9" s="8">
        <v>28.929300000000001</v>
      </c>
      <c r="G9" s="8">
        <v>31.5</v>
      </c>
      <c r="M9" s="8">
        <v>370.78271999999998</v>
      </c>
      <c r="N9" s="8">
        <v>38.4</v>
      </c>
    </row>
    <row r="10" spans="5:15" x14ac:dyDescent="0.3">
      <c r="F10" s="8">
        <v>627.97424999999998</v>
      </c>
      <c r="G10" s="8">
        <v>45</v>
      </c>
      <c r="M10" s="8">
        <v>970.53369399999997</v>
      </c>
      <c r="N10" s="8">
        <v>77</v>
      </c>
    </row>
    <row r="11" spans="5:15" x14ac:dyDescent="0.3">
      <c r="F11" s="8">
        <v>857.86411999999996</v>
      </c>
      <c r="G11" s="8">
        <v>49.1</v>
      </c>
      <c r="M11" s="8">
        <v>1336.866679</v>
      </c>
      <c r="N11" s="8">
        <v>90.1</v>
      </c>
    </row>
    <row r="12" spans="5:15" x14ac:dyDescent="0.3">
      <c r="F12" s="8">
        <v>1526.40263</v>
      </c>
      <c r="G12" s="8">
        <v>60.4</v>
      </c>
      <c r="M12" s="8">
        <v>2592.839219</v>
      </c>
      <c r="N12" s="8">
        <v>91.1</v>
      </c>
    </row>
    <row r="13" spans="5:15" x14ac:dyDescent="0.3">
      <c r="F13" s="8">
        <v>5524.9267099999997</v>
      </c>
      <c r="G13" s="8">
        <v>62.8</v>
      </c>
      <c r="M13" s="8">
        <v>3236.0192689999999</v>
      </c>
      <c r="N13" s="8">
        <v>114.1</v>
      </c>
    </row>
    <row r="14" spans="5:15" x14ac:dyDescent="0.3">
      <c r="F14" s="8">
        <v>6004.1445800000001</v>
      </c>
      <c r="G14" s="8">
        <v>70.900000000000006</v>
      </c>
      <c r="M14" s="8">
        <v>7147.984316</v>
      </c>
      <c r="N14" s="8">
        <v>122.4</v>
      </c>
    </row>
    <row r="15" spans="5:15" x14ac:dyDescent="0.3">
      <c r="F15" s="8">
        <v>14673.2474</v>
      </c>
      <c r="G15" s="8">
        <v>111.5</v>
      </c>
      <c r="M15" s="8">
        <v>7852.6859359999999</v>
      </c>
      <c r="N15" s="8">
        <v>147.6</v>
      </c>
    </row>
    <row r="16" spans="5:15" x14ac:dyDescent="0.3">
      <c r="F16" s="8">
        <v>14791.91165</v>
      </c>
      <c r="G16" s="8">
        <v>114</v>
      </c>
      <c r="M16" s="8">
        <v>8201.8778920000004</v>
      </c>
      <c r="N16" s="8">
        <v>175.7</v>
      </c>
    </row>
    <row r="17" spans="6:14" x14ac:dyDescent="0.3">
      <c r="F17" s="8">
        <v>16176.012650000001</v>
      </c>
      <c r="G17" s="8">
        <v>144</v>
      </c>
      <c r="M17" s="8">
        <v>14902.49266</v>
      </c>
      <c r="N17" s="8">
        <v>176.6</v>
      </c>
    </row>
    <row r="18" spans="6:14" x14ac:dyDescent="0.3">
      <c r="F18" s="8">
        <v>16316.953450000001</v>
      </c>
      <c r="G18" s="8">
        <v>149.19999999999999</v>
      </c>
      <c r="M18" s="8">
        <v>15310.090389999999</v>
      </c>
      <c r="N18" s="8">
        <v>209.4</v>
      </c>
    </row>
    <row r="19" spans="6:14" x14ac:dyDescent="0.3">
      <c r="F19" s="8">
        <v>18254.43345</v>
      </c>
      <c r="G19" s="8">
        <v>169.2</v>
      </c>
      <c r="M19" s="8">
        <v>15783.427680000001</v>
      </c>
      <c r="N19" s="8">
        <v>218</v>
      </c>
    </row>
    <row r="20" spans="6:14" x14ac:dyDescent="0.3">
      <c r="F20" s="8">
        <v>18567.74005</v>
      </c>
      <c r="G20" s="8">
        <v>173.5</v>
      </c>
      <c r="M20" s="8">
        <v>15941.247530000001</v>
      </c>
      <c r="N20" s="8">
        <v>230.7</v>
      </c>
    </row>
    <row r="21" spans="6:14" x14ac:dyDescent="0.3">
      <c r="F21" s="8">
        <v>18567.74005</v>
      </c>
      <c r="G21" s="8">
        <v>279.5</v>
      </c>
      <c r="M21" s="8">
        <v>25206.981800000001</v>
      </c>
      <c r="N21" s="8">
        <v>234.1</v>
      </c>
    </row>
    <row r="22" spans="6:14" x14ac:dyDescent="0.3">
      <c r="F22" s="8">
        <v>20708.8</v>
      </c>
      <c r="G22" s="8">
        <v>440</v>
      </c>
      <c r="M22" s="8">
        <v>25404.567279999999</v>
      </c>
      <c r="N22" s="8">
        <v>250</v>
      </c>
    </row>
  </sheetData>
  <mergeCells count="2">
    <mergeCell ref="E5:I5"/>
    <mergeCell ref="K5:O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E17:AE18"/>
  <sheetViews>
    <sheetView zoomScale="55" zoomScaleNormal="55" workbookViewId="0">
      <selection activeCell="Y47" sqref="Y47"/>
    </sheetView>
  </sheetViews>
  <sheetFormatPr defaultRowHeight="14.4" x14ac:dyDescent="0.3"/>
  <cols>
    <col min="31" max="31" width="25.6640625" customWidth="1"/>
  </cols>
  <sheetData>
    <row r="17" spans="31:31" x14ac:dyDescent="0.3">
      <c r="AE17" t="s">
        <v>44</v>
      </c>
    </row>
    <row r="18" spans="31:31" x14ac:dyDescent="0.3">
      <c r="AE18" t="s">
        <v>45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N57"/>
  <sheetViews>
    <sheetView zoomScale="55" zoomScaleNormal="55" workbookViewId="0">
      <selection activeCell="AD61" sqref="AD61"/>
    </sheetView>
  </sheetViews>
  <sheetFormatPr defaultRowHeight="14.4" x14ac:dyDescent="0.3"/>
  <cols>
    <col min="4" max="4" width="11.109375" customWidth="1"/>
    <col min="5" max="5" width="11.33203125" customWidth="1"/>
    <col min="6" max="6" width="25.5546875" customWidth="1"/>
    <col min="9" max="9" width="27" customWidth="1"/>
    <col min="10" max="10" width="15.44140625" customWidth="1"/>
    <col min="11" max="11" width="28.6640625" customWidth="1"/>
    <col min="13" max="13" width="27.5546875" customWidth="1"/>
    <col min="14" max="14" width="21" customWidth="1"/>
  </cols>
  <sheetData>
    <row r="8" spans="4:10" x14ac:dyDescent="0.3">
      <c r="I8" t="s">
        <v>57</v>
      </c>
      <c r="J8">
        <v>161.5</v>
      </c>
    </row>
    <row r="9" spans="4:10" x14ac:dyDescent="0.3">
      <c r="D9" t="s">
        <v>46</v>
      </c>
    </row>
    <row r="10" spans="4:10" x14ac:dyDescent="0.3">
      <c r="E10" t="s">
        <v>50</v>
      </c>
      <c r="F10" t="s">
        <v>27</v>
      </c>
    </row>
    <row r="11" spans="4:10" x14ac:dyDescent="0.3">
      <c r="E11" s="8">
        <v>18254.43345</v>
      </c>
      <c r="F11" s="8">
        <v>169.2</v>
      </c>
      <c r="I11" t="s">
        <v>47</v>
      </c>
    </row>
    <row r="12" spans="4:10" x14ac:dyDescent="0.3">
      <c r="E12" s="8">
        <v>18567.74005</v>
      </c>
      <c r="F12" s="8">
        <v>173.5</v>
      </c>
    </row>
    <row r="13" spans="4:10" x14ac:dyDescent="0.3">
      <c r="I13" t="s">
        <v>48</v>
      </c>
    </row>
    <row r="15" spans="4:10" x14ac:dyDescent="0.3">
      <c r="I15" t="s">
        <v>49</v>
      </c>
      <c r="J15">
        <f>(F12-F11)/(E12-E11)</f>
        <v>1.3724575224396846E-2</v>
      </c>
    </row>
    <row r="17" spans="4:14" x14ac:dyDescent="0.3">
      <c r="I17" t="s">
        <v>52</v>
      </c>
      <c r="J17">
        <f>F12-J15*(E12)</f>
        <v>-81.334345063271059</v>
      </c>
    </row>
    <row r="19" spans="4:14" x14ac:dyDescent="0.3">
      <c r="I19" t="s">
        <v>58</v>
      </c>
    </row>
    <row r="20" spans="4:14" x14ac:dyDescent="0.3">
      <c r="I20" t="s">
        <v>53</v>
      </c>
      <c r="J20">
        <f>(J8-J17)/J15</f>
        <v>17693.396050000003</v>
      </c>
    </row>
    <row r="21" spans="4:14" x14ac:dyDescent="0.3">
      <c r="D21" s="8"/>
      <c r="E21" s="8"/>
    </row>
    <row r="22" spans="4:14" x14ac:dyDescent="0.3">
      <c r="D22" s="8"/>
      <c r="E22" s="8"/>
    </row>
    <row r="23" spans="4:14" x14ac:dyDescent="0.3">
      <c r="F23" t="s">
        <v>56</v>
      </c>
      <c r="K23" t="s">
        <v>54</v>
      </c>
      <c r="M23" t="s">
        <v>55</v>
      </c>
    </row>
    <row r="25" spans="4:14" x14ac:dyDescent="0.3">
      <c r="F25" s="8" t="s">
        <v>40</v>
      </c>
      <c r="G25" s="8" t="s">
        <v>41</v>
      </c>
      <c r="J25" t="s">
        <v>40</v>
      </c>
      <c r="K25" t="s">
        <v>41</v>
      </c>
      <c r="M25" t="s">
        <v>40</v>
      </c>
      <c r="N25" t="s">
        <v>41</v>
      </c>
    </row>
    <row r="26" spans="4:14" x14ac:dyDescent="0.3">
      <c r="F26" s="8">
        <v>0</v>
      </c>
      <c r="G26" s="8">
        <v>-28.4</v>
      </c>
      <c r="J26">
        <f>F26+J20</f>
        <v>17693.396050000003</v>
      </c>
      <c r="K26" s="8">
        <v>-28.4</v>
      </c>
      <c r="M26" s="8">
        <v>0</v>
      </c>
      <c r="N26" s="8">
        <v>27.8</v>
      </c>
    </row>
    <row r="27" spans="4:14" x14ac:dyDescent="0.3">
      <c r="F27" s="8">
        <v>370.78271999999998</v>
      </c>
      <c r="G27" s="8">
        <v>20</v>
      </c>
      <c r="J27">
        <f>F27+J20</f>
        <v>18064.178770000002</v>
      </c>
      <c r="K27" s="8">
        <v>20</v>
      </c>
      <c r="M27" s="8">
        <v>3.5882999999999998</v>
      </c>
      <c r="N27" s="8">
        <v>30.5</v>
      </c>
    </row>
    <row r="28" spans="4:14" x14ac:dyDescent="0.3">
      <c r="F28" s="8">
        <v>370.78271999999998</v>
      </c>
      <c r="G28" s="8">
        <v>38.4</v>
      </c>
      <c r="J28">
        <f>F28+J20</f>
        <v>18064.178770000002</v>
      </c>
      <c r="K28" s="8">
        <v>38.4</v>
      </c>
      <c r="M28" s="8">
        <v>28.929300000000001</v>
      </c>
      <c r="N28" s="8">
        <v>31.5</v>
      </c>
    </row>
    <row r="29" spans="4:14" x14ac:dyDescent="0.3">
      <c r="F29" s="8">
        <v>970.53369399999997</v>
      </c>
      <c r="G29" s="8">
        <v>77</v>
      </c>
      <c r="J29">
        <f>F29+J20</f>
        <v>18663.929744000005</v>
      </c>
      <c r="K29" s="8">
        <v>77</v>
      </c>
      <c r="M29" s="8">
        <v>627.97424999999998</v>
      </c>
      <c r="N29" s="8">
        <v>45</v>
      </c>
    </row>
    <row r="30" spans="4:14" x14ac:dyDescent="0.3">
      <c r="F30" s="8">
        <v>1336.866679</v>
      </c>
      <c r="G30" s="8">
        <v>90.1</v>
      </c>
      <c r="J30">
        <f>F30+J20</f>
        <v>19030.262729000002</v>
      </c>
      <c r="K30" s="8">
        <v>90.1</v>
      </c>
      <c r="M30" s="8">
        <v>857.86411999999996</v>
      </c>
      <c r="N30" s="8">
        <v>49.1</v>
      </c>
    </row>
    <row r="31" spans="4:14" x14ac:dyDescent="0.3">
      <c r="F31" s="8">
        <v>2592.839219</v>
      </c>
      <c r="G31" s="8">
        <v>91.1</v>
      </c>
      <c r="J31">
        <f>F31+J20</f>
        <v>20286.235269000004</v>
      </c>
      <c r="K31" s="8">
        <v>91.1</v>
      </c>
      <c r="M31" s="8">
        <v>1526.40263</v>
      </c>
      <c r="N31" s="8">
        <v>60.4</v>
      </c>
    </row>
    <row r="32" spans="4:14" x14ac:dyDescent="0.3">
      <c r="F32" s="8">
        <v>3236.0192689999999</v>
      </c>
      <c r="G32" s="8">
        <v>114.1</v>
      </c>
      <c r="J32">
        <f>F32+J20</f>
        <v>20929.415319000003</v>
      </c>
      <c r="K32" s="8">
        <v>114.1</v>
      </c>
      <c r="M32" s="8">
        <v>5524.9267099999997</v>
      </c>
      <c r="N32" s="8">
        <v>62.8</v>
      </c>
    </row>
    <row r="33" spans="6:14" x14ac:dyDescent="0.3">
      <c r="F33" s="8">
        <v>7147.984316</v>
      </c>
      <c r="G33" s="8">
        <v>122.4</v>
      </c>
      <c r="J33">
        <f>F33+J20</f>
        <v>24841.380366000005</v>
      </c>
      <c r="K33" s="8">
        <v>122.4</v>
      </c>
      <c r="M33" s="8">
        <v>6004.1445800000001</v>
      </c>
      <c r="N33" s="8">
        <v>70.900000000000006</v>
      </c>
    </row>
    <row r="34" spans="6:14" x14ac:dyDescent="0.3">
      <c r="F34" s="8">
        <v>7852.6859359999999</v>
      </c>
      <c r="G34" s="8">
        <v>147.6</v>
      </c>
      <c r="J34">
        <f>F34+J20</f>
        <v>25546.081986000005</v>
      </c>
      <c r="K34" s="8">
        <v>147.6</v>
      </c>
      <c r="M34" s="8">
        <v>14673.2474</v>
      </c>
      <c r="N34" s="8">
        <v>111.5</v>
      </c>
    </row>
    <row r="35" spans="6:14" x14ac:dyDescent="0.3">
      <c r="F35" s="8">
        <v>8201.8778920000004</v>
      </c>
      <c r="G35" s="8">
        <v>175.7</v>
      </c>
      <c r="J35">
        <f>F35+J20</f>
        <v>25895.273942000003</v>
      </c>
      <c r="K35" s="8">
        <v>175.7</v>
      </c>
      <c r="M35" s="8">
        <v>14791.91165</v>
      </c>
      <c r="N35" s="8">
        <v>114</v>
      </c>
    </row>
    <row r="36" spans="6:14" x14ac:dyDescent="0.3">
      <c r="F36" s="8">
        <v>14902.49266</v>
      </c>
      <c r="G36" s="8">
        <v>176.6</v>
      </c>
      <c r="J36">
        <f>F36+J20</f>
        <v>32595.888710000003</v>
      </c>
      <c r="K36" s="8">
        <v>176.6</v>
      </c>
      <c r="M36" s="8">
        <v>16176.012650000001</v>
      </c>
      <c r="N36" s="8">
        <v>144</v>
      </c>
    </row>
    <row r="37" spans="6:14" x14ac:dyDescent="0.3">
      <c r="F37" s="8">
        <v>15310.090389999999</v>
      </c>
      <c r="G37" s="8">
        <v>209.4</v>
      </c>
      <c r="J37">
        <f>F37+J20</f>
        <v>33003.486440000001</v>
      </c>
      <c r="K37" s="8">
        <v>209.4</v>
      </c>
      <c r="M37" s="8">
        <v>16316.953450000001</v>
      </c>
      <c r="N37" s="8">
        <v>149.19999999999999</v>
      </c>
    </row>
    <row r="38" spans="6:14" x14ac:dyDescent="0.3">
      <c r="F38" s="8">
        <v>15783.427680000001</v>
      </c>
      <c r="G38" s="8">
        <v>218</v>
      </c>
      <c r="J38">
        <f>F38+J20</f>
        <v>33476.823730000004</v>
      </c>
      <c r="K38" s="8">
        <v>218</v>
      </c>
      <c r="M38" s="8">
        <v>18254.43345</v>
      </c>
      <c r="N38" s="8">
        <v>169.2</v>
      </c>
    </row>
    <row r="39" spans="6:14" x14ac:dyDescent="0.3">
      <c r="F39" s="8">
        <v>15941.247530000001</v>
      </c>
      <c r="G39" s="8">
        <v>230.7</v>
      </c>
      <c r="J39">
        <f>F39+J20</f>
        <v>33634.643580000004</v>
      </c>
      <c r="K39" s="8">
        <v>230.7</v>
      </c>
      <c r="M39" s="8">
        <v>18567.74005</v>
      </c>
      <c r="N39" s="8">
        <v>173.5</v>
      </c>
    </row>
    <row r="40" spans="6:14" x14ac:dyDescent="0.3">
      <c r="F40" s="8">
        <v>25206.981800000001</v>
      </c>
      <c r="G40" s="8">
        <v>234.1</v>
      </c>
      <c r="J40">
        <f>F40+J20</f>
        <v>42900.377850000004</v>
      </c>
      <c r="K40" s="8">
        <v>234.1</v>
      </c>
      <c r="M40" s="8">
        <v>18567.74005</v>
      </c>
      <c r="N40" s="8">
        <v>279.5</v>
      </c>
    </row>
    <row r="41" spans="6:14" x14ac:dyDescent="0.3">
      <c r="F41" s="8">
        <v>25404.567279999999</v>
      </c>
      <c r="G41" s="8">
        <v>250</v>
      </c>
      <c r="J41">
        <f>F41+J20</f>
        <v>43097.963329999999</v>
      </c>
      <c r="K41" s="8">
        <v>250</v>
      </c>
      <c r="M41" s="8">
        <v>20708.8</v>
      </c>
      <c r="N41" s="8">
        <v>440</v>
      </c>
    </row>
    <row r="48" spans="6:14" x14ac:dyDescent="0.3">
      <c r="I48" t="s">
        <v>48</v>
      </c>
      <c r="K48">
        <v>136.1</v>
      </c>
    </row>
    <row r="50" spans="9:11" x14ac:dyDescent="0.3">
      <c r="I50" s="8">
        <v>16176.012650000001</v>
      </c>
      <c r="J50" s="8">
        <v>144</v>
      </c>
    </row>
    <row r="51" spans="9:11" x14ac:dyDescent="0.3">
      <c r="I51" s="8">
        <v>16316.953450000001</v>
      </c>
      <c r="J51" s="8">
        <v>149.19999999999999</v>
      </c>
      <c r="K51">
        <v>0.4</v>
      </c>
    </row>
    <row r="53" spans="9:11" x14ac:dyDescent="0.3">
      <c r="I53" t="s">
        <v>59</v>
      </c>
      <c r="J53">
        <f xml:space="preserve"> (J51-J50)/(I51-I50)</f>
        <v>3.6894923258559462E-2</v>
      </c>
    </row>
    <row r="55" spans="9:11" x14ac:dyDescent="0.3">
      <c r="I55" t="s">
        <v>51</v>
      </c>
      <c r="J55">
        <f>J51-J53*(I51)</f>
        <v>-452.81274535123708</v>
      </c>
    </row>
    <row r="57" spans="9:11" x14ac:dyDescent="0.3">
      <c r="I57" t="s">
        <v>24</v>
      </c>
      <c r="J57">
        <f>J53*K48+J55</f>
        <v>-447.79134629574713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O57"/>
  <sheetViews>
    <sheetView zoomScale="70" zoomScaleNormal="70" workbookViewId="0">
      <selection activeCell="K48" sqref="K48"/>
    </sheetView>
  </sheetViews>
  <sheetFormatPr defaultRowHeight="14.4" x14ac:dyDescent="0.3"/>
  <cols>
    <col min="1" max="3" width="8.88671875" style="8"/>
    <col min="4" max="4" width="11.109375" style="8" customWidth="1"/>
    <col min="5" max="5" width="11.33203125" style="8" customWidth="1"/>
    <col min="6" max="6" width="25.5546875" style="8" customWidth="1"/>
    <col min="7" max="8" width="8.88671875" style="8"/>
    <col min="9" max="9" width="27" style="8" customWidth="1"/>
    <col min="10" max="10" width="15.44140625" style="8" customWidth="1"/>
    <col min="11" max="11" width="28.6640625" style="8" customWidth="1"/>
    <col min="12" max="12" width="8.88671875" style="8"/>
    <col min="13" max="13" width="27.5546875" style="8" customWidth="1"/>
    <col min="14" max="14" width="21" style="8" customWidth="1"/>
    <col min="15" max="16384" width="8.88671875" style="8"/>
  </cols>
  <sheetData>
    <row r="2" spans="4:41" ht="14.4" customHeight="1" x14ac:dyDescent="0.3">
      <c r="E2" s="19" t="s">
        <v>63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8" spans="4:41" x14ac:dyDescent="0.3">
      <c r="I8" s="8" t="s">
        <v>57</v>
      </c>
      <c r="J8" s="8">
        <v>85</v>
      </c>
    </row>
    <row r="9" spans="4:41" ht="14.4" customHeight="1" x14ac:dyDescent="0.3">
      <c r="D9" s="8" t="s">
        <v>46</v>
      </c>
      <c r="W9" s="19" t="s">
        <v>64</v>
      </c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</row>
    <row r="10" spans="4:41" x14ac:dyDescent="0.3">
      <c r="E10" s="8" t="s">
        <v>50</v>
      </c>
      <c r="F10" s="8" t="s">
        <v>27</v>
      </c>
    </row>
    <row r="11" spans="4:41" x14ac:dyDescent="0.3">
      <c r="E11" s="8">
        <v>18254.43345</v>
      </c>
      <c r="F11" s="8">
        <v>169.2</v>
      </c>
      <c r="I11" s="8" t="s">
        <v>47</v>
      </c>
    </row>
    <row r="12" spans="4:41" x14ac:dyDescent="0.3">
      <c r="E12" s="8">
        <v>18567.74005</v>
      </c>
      <c r="F12" s="8">
        <v>173.5</v>
      </c>
    </row>
    <row r="13" spans="4:41" x14ac:dyDescent="0.3">
      <c r="I13" s="8" t="s">
        <v>48</v>
      </c>
    </row>
    <row r="15" spans="4:41" x14ac:dyDescent="0.3">
      <c r="I15" s="8" t="s">
        <v>49</v>
      </c>
      <c r="J15" s="8">
        <f>(F12-F11)/(E12-E11)</f>
        <v>1.3724575224396846E-2</v>
      </c>
    </row>
    <row r="17" spans="6:14" x14ac:dyDescent="0.3">
      <c r="I17" s="8" t="s">
        <v>52</v>
      </c>
      <c r="J17" s="8">
        <f>F12-J15*(E12)</f>
        <v>-81.334345063271059</v>
      </c>
    </row>
    <row r="19" spans="6:14" x14ac:dyDescent="0.3">
      <c r="I19" s="8" t="s">
        <v>58</v>
      </c>
    </row>
    <row r="20" spans="6:14" x14ac:dyDescent="0.3">
      <c r="I20" s="8" t="s">
        <v>53</v>
      </c>
      <c r="J20" s="8">
        <f>(J8-J17)/J15</f>
        <v>12119.45305000002</v>
      </c>
    </row>
    <row r="23" spans="6:14" x14ac:dyDescent="0.3">
      <c r="F23" s="8" t="s">
        <v>56</v>
      </c>
      <c r="K23" s="8" t="s">
        <v>54</v>
      </c>
      <c r="M23" s="8" t="s">
        <v>55</v>
      </c>
    </row>
    <row r="25" spans="6:14" x14ac:dyDescent="0.3">
      <c r="F25" s="8" t="s">
        <v>40</v>
      </c>
      <c r="G25" s="8" t="s">
        <v>41</v>
      </c>
      <c r="J25" s="8" t="s">
        <v>40</v>
      </c>
      <c r="K25" s="8" t="s">
        <v>41</v>
      </c>
      <c r="M25" s="8" t="s">
        <v>40</v>
      </c>
      <c r="N25" s="8" t="s">
        <v>41</v>
      </c>
    </row>
    <row r="26" spans="6:14" x14ac:dyDescent="0.3">
      <c r="F26" s="8">
        <v>0</v>
      </c>
      <c r="G26" s="8">
        <v>-28.4</v>
      </c>
      <c r="J26" s="8">
        <f>F26+J20</f>
        <v>12119.45305000002</v>
      </c>
      <c r="K26" s="8">
        <v>-28.4</v>
      </c>
      <c r="M26" s="8">
        <v>0</v>
      </c>
      <c r="N26" s="8">
        <v>27.8</v>
      </c>
    </row>
    <row r="27" spans="6:14" x14ac:dyDescent="0.3">
      <c r="F27" s="8">
        <v>370.78271999999998</v>
      </c>
      <c r="G27" s="8">
        <v>20</v>
      </c>
      <c r="J27" s="8">
        <f>F27+J20</f>
        <v>12490.235770000019</v>
      </c>
      <c r="K27" s="8">
        <v>20</v>
      </c>
      <c r="M27" s="8">
        <v>3.5882999999999998</v>
      </c>
      <c r="N27" s="8">
        <v>30.5</v>
      </c>
    </row>
    <row r="28" spans="6:14" x14ac:dyDescent="0.3">
      <c r="F28" s="8">
        <v>370.78271999999998</v>
      </c>
      <c r="G28" s="8">
        <v>38.4</v>
      </c>
      <c r="J28" s="8">
        <f>F28+J20</f>
        <v>12490.235770000019</v>
      </c>
      <c r="K28" s="8">
        <v>38.4</v>
      </c>
      <c r="M28" s="8">
        <v>28.929300000000001</v>
      </c>
      <c r="N28" s="8">
        <v>31.5</v>
      </c>
    </row>
    <row r="29" spans="6:14" x14ac:dyDescent="0.3">
      <c r="F29" s="8">
        <v>970.53369399999997</v>
      </c>
      <c r="G29" s="8">
        <v>77</v>
      </c>
      <c r="J29" s="8">
        <f>F29+J20</f>
        <v>13089.98674400002</v>
      </c>
      <c r="K29" s="8">
        <v>77</v>
      </c>
      <c r="M29" s="8">
        <v>627.97424999999998</v>
      </c>
      <c r="N29" s="8">
        <v>45</v>
      </c>
    </row>
    <row r="30" spans="6:14" x14ac:dyDescent="0.3">
      <c r="F30" s="8">
        <v>1336.866679</v>
      </c>
      <c r="G30" s="8">
        <v>90.1</v>
      </c>
      <c r="J30" s="8">
        <f>F30+J20</f>
        <v>13456.319729000021</v>
      </c>
      <c r="K30" s="8">
        <v>90.1</v>
      </c>
      <c r="M30" s="8">
        <v>857.86411999999996</v>
      </c>
      <c r="N30" s="8">
        <v>49.1</v>
      </c>
    </row>
    <row r="31" spans="6:14" x14ac:dyDescent="0.3">
      <c r="F31" s="8">
        <v>2592.839219</v>
      </c>
      <c r="G31" s="8">
        <v>91.1</v>
      </c>
      <c r="J31" s="8">
        <f>F31+J20</f>
        <v>14712.29226900002</v>
      </c>
      <c r="K31" s="8">
        <v>91.1</v>
      </c>
      <c r="M31" s="8">
        <v>1526.40263</v>
      </c>
      <c r="N31" s="8">
        <v>60.4</v>
      </c>
    </row>
    <row r="32" spans="6:14" x14ac:dyDescent="0.3">
      <c r="F32" s="8">
        <v>3236.0192689999999</v>
      </c>
      <c r="G32" s="8">
        <v>114.1</v>
      </c>
      <c r="J32" s="8">
        <f>F32+J20</f>
        <v>15355.47231900002</v>
      </c>
      <c r="K32" s="8">
        <v>114.1</v>
      </c>
      <c r="M32" s="8">
        <v>5524.9267099999997</v>
      </c>
      <c r="N32" s="8">
        <v>62.8</v>
      </c>
    </row>
    <row r="33" spans="6:14" x14ac:dyDescent="0.3">
      <c r="F33" s="8">
        <v>7147.984316</v>
      </c>
      <c r="G33" s="8">
        <v>122.4</v>
      </c>
      <c r="J33" s="8">
        <f>F33+J20</f>
        <v>19267.43736600002</v>
      </c>
      <c r="K33" s="8">
        <v>122.4</v>
      </c>
      <c r="M33" s="8">
        <v>6004.1445800000001</v>
      </c>
      <c r="N33" s="8">
        <v>70.900000000000006</v>
      </c>
    </row>
    <row r="34" spans="6:14" x14ac:dyDescent="0.3">
      <c r="F34" s="8">
        <v>7852.6859359999999</v>
      </c>
      <c r="G34" s="8">
        <v>147.6</v>
      </c>
      <c r="J34" s="8">
        <f>F34+J20</f>
        <v>19972.13898600002</v>
      </c>
      <c r="K34" s="8">
        <v>147.6</v>
      </c>
      <c r="M34" s="8">
        <v>14673.2474</v>
      </c>
      <c r="N34" s="8">
        <v>111.5</v>
      </c>
    </row>
    <row r="35" spans="6:14" x14ac:dyDescent="0.3">
      <c r="F35" s="8">
        <v>8201.8778920000004</v>
      </c>
      <c r="G35" s="8">
        <v>175.7</v>
      </c>
      <c r="J35" s="8">
        <f>F35+J20</f>
        <v>20321.330942000022</v>
      </c>
      <c r="K35" s="8">
        <v>175.7</v>
      </c>
      <c r="M35" s="8">
        <v>14791.91165</v>
      </c>
      <c r="N35" s="8">
        <v>114</v>
      </c>
    </row>
    <row r="36" spans="6:14" x14ac:dyDescent="0.3">
      <c r="F36" s="8">
        <v>14902.49266</v>
      </c>
      <c r="G36" s="8">
        <v>176.6</v>
      </c>
      <c r="J36" s="8">
        <f>F36+J20</f>
        <v>27021.945710000022</v>
      </c>
      <c r="K36" s="8">
        <v>176.6</v>
      </c>
      <c r="M36" s="8">
        <v>16176.012650000001</v>
      </c>
      <c r="N36" s="8">
        <v>144</v>
      </c>
    </row>
    <row r="37" spans="6:14" x14ac:dyDescent="0.3">
      <c r="F37" s="8">
        <v>15310.090389999999</v>
      </c>
      <c r="G37" s="8">
        <v>209.4</v>
      </c>
      <c r="J37" s="8">
        <f>F37+J20</f>
        <v>27429.543440000019</v>
      </c>
      <c r="K37" s="8">
        <v>209.4</v>
      </c>
      <c r="M37" s="8">
        <v>16316.953450000001</v>
      </c>
      <c r="N37" s="8">
        <v>149.19999999999999</v>
      </c>
    </row>
    <row r="38" spans="6:14" x14ac:dyDescent="0.3">
      <c r="F38" s="8">
        <v>15783.427680000001</v>
      </c>
      <c r="G38" s="8">
        <v>218</v>
      </c>
      <c r="J38" s="8">
        <f>F38+J20</f>
        <v>27902.880730000019</v>
      </c>
      <c r="K38" s="8">
        <v>218</v>
      </c>
      <c r="M38" s="8">
        <v>18254.43345</v>
      </c>
      <c r="N38" s="8">
        <v>169.2</v>
      </c>
    </row>
    <row r="39" spans="6:14" x14ac:dyDescent="0.3">
      <c r="F39" s="8">
        <v>15941.247530000001</v>
      </c>
      <c r="G39" s="8">
        <v>230.7</v>
      </c>
      <c r="J39" s="8">
        <f>F39+J20</f>
        <v>28060.700580000019</v>
      </c>
      <c r="K39" s="8">
        <v>230.7</v>
      </c>
      <c r="M39" s="8">
        <v>18567.74005</v>
      </c>
      <c r="N39" s="8">
        <v>173.5</v>
      </c>
    </row>
    <row r="40" spans="6:14" x14ac:dyDescent="0.3">
      <c r="F40" s="8">
        <v>25206.981800000001</v>
      </c>
      <c r="G40" s="8">
        <v>234.1</v>
      </c>
      <c r="J40" s="8">
        <f>F40+J20</f>
        <v>37326.43485000002</v>
      </c>
      <c r="K40" s="8">
        <v>234.1</v>
      </c>
      <c r="M40" s="8">
        <v>18567.74005</v>
      </c>
      <c r="N40" s="8">
        <v>279.5</v>
      </c>
    </row>
    <row r="41" spans="6:14" x14ac:dyDescent="0.3">
      <c r="F41" s="8">
        <v>25404.567279999999</v>
      </c>
      <c r="G41" s="8">
        <v>250</v>
      </c>
      <c r="J41" s="8">
        <f>F41+J20</f>
        <v>37524.020330000021</v>
      </c>
      <c r="K41" s="8">
        <v>250</v>
      </c>
      <c r="M41" s="8">
        <v>20708.8</v>
      </c>
      <c r="N41" s="8">
        <v>440</v>
      </c>
    </row>
    <row r="48" spans="6:14" x14ac:dyDescent="0.3">
      <c r="I48" s="8" t="s">
        <v>48</v>
      </c>
    </row>
    <row r="50" spans="9:10" x14ac:dyDescent="0.3">
      <c r="I50" s="8">
        <v>16176.012650000001</v>
      </c>
      <c r="J50" s="8">
        <v>144</v>
      </c>
    </row>
    <row r="51" spans="9:10" x14ac:dyDescent="0.3">
      <c r="I51" s="8">
        <v>16316.953450000001</v>
      </c>
      <c r="J51" s="8">
        <v>149.19999999999999</v>
      </c>
    </row>
    <row r="53" spans="9:10" x14ac:dyDescent="0.3">
      <c r="I53" s="8" t="s">
        <v>59</v>
      </c>
      <c r="J53" s="8">
        <f xml:space="preserve"> (J51-J50)/(I51-I50)</f>
        <v>3.6894923258559462E-2</v>
      </c>
    </row>
    <row r="55" spans="9:10" x14ac:dyDescent="0.3">
      <c r="I55" s="8" t="s">
        <v>51</v>
      </c>
      <c r="J55" s="8">
        <f>J51-J53*(I51)</f>
        <v>-452.81274535123708</v>
      </c>
    </row>
    <row r="57" spans="9:10" x14ac:dyDescent="0.3">
      <c r="I57" s="8" t="s">
        <v>24</v>
      </c>
      <c r="J57" s="8">
        <f>J53*K48+J55</f>
        <v>-452.81274535123708</v>
      </c>
    </row>
  </sheetData>
  <mergeCells count="2">
    <mergeCell ref="E2:X2"/>
    <mergeCell ref="W9:AO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Hot composite curve</vt:lpstr>
      <vt:lpstr>Cold Composite curve</vt:lpstr>
      <vt:lpstr>Composite curve hot and cold</vt:lpstr>
      <vt:lpstr>Violation of composite curve</vt:lpstr>
      <vt:lpstr>Curve after offset (at T= 161.5</vt:lpstr>
      <vt:lpstr>Curve after offset (T = 85)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VCI RG</dc:creator>
  <cp:lastModifiedBy>VCI RG</cp:lastModifiedBy>
  <cp:lastPrinted>2026-02-27T07:09:40Z</cp:lastPrinted>
  <dcterms:created xsi:type="dcterms:W3CDTF">2026-02-24T18:30:11Z</dcterms:created>
  <dcterms:modified xsi:type="dcterms:W3CDTF">2026-02-27T11:18:18Z</dcterms:modified>
</cp:coreProperties>
</file>