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CI RG\OneDrive\Desktop\HW uni\sem 2\Thermodynamics\Assignment 1\"/>
    </mc:Choice>
  </mc:AlternateContent>
  <bookViews>
    <workbookView xWindow="0" yWindow="0" windowWidth="23040" windowHeight="9972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2" l="1"/>
  <c r="R20" i="2"/>
</calcChain>
</file>

<file path=xl/sharedStrings.xml><?xml version="1.0" encoding="utf-8"?>
<sst xmlns="http://schemas.openxmlformats.org/spreadsheetml/2006/main" count="52" uniqueCount="20">
  <si>
    <t>Q</t>
  </si>
  <si>
    <t>T</t>
  </si>
  <si>
    <t>Low Pressure</t>
  </si>
  <si>
    <t>High Pressure</t>
  </si>
  <si>
    <t>Intermediate Pressure</t>
  </si>
  <si>
    <t xml:space="preserve">Reheater </t>
  </si>
  <si>
    <t>Gas line</t>
  </si>
  <si>
    <t>Stream Number</t>
  </si>
  <si>
    <t>Type</t>
  </si>
  <si>
    <r>
      <t>t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> (°C)</t>
    </r>
  </si>
  <si>
    <r>
      <t>t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>(°C)</t>
    </r>
  </si>
  <si>
    <t>m</t>
  </si>
  <si>
    <t>(kg/s)</t>
  </si>
  <si>
    <r>
      <t>c</t>
    </r>
    <r>
      <rPr>
        <b/>
        <vertAlign val="subscript"/>
        <sz val="12"/>
        <rFont val="Arial"/>
        <family val="2"/>
      </rPr>
      <t>p</t>
    </r>
    <r>
      <rPr>
        <b/>
        <sz val="12"/>
        <rFont val="Arial"/>
        <family val="2"/>
      </rPr>
      <t> (J/kg°K)</t>
    </r>
  </si>
  <si>
    <t>hot</t>
  </si>
  <si>
    <r>
      <t>135717</t>
    </r>
    <r>
      <rPr>
        <vertAlign val="superscript"/>
        <sz val="12"/>
        <rFont val="Arial"/>
        <family val="2"/>
      </rPr>
      <t>#</t>
    </r>
  </si>
  <si>
    <t>cold</t>
  </si>
  <si>
    <r>
      <t>22616</t>
    </r>
    <r>
      <rPr>
        <vertAlign val="superscript"/>
        <sz val="12"/>
        <rFont val="Arial"/>
        <family val="2"/>
      </rPr>
      <t>#</t>
    </r>
  </si>
  <si>
    <r>
      <t>103146</t>
    </r>
    <r>
      <rPr>
        <vertAlign val="superscript"/>
        <sz val="12"/>
        <rFont val="Arial"/>
        <family val="2"/>
      </rPr>
      <t>#</t>
    </r>
  </si>
  <si>
    <r>
      <t>58007</t>
    </r>
    <r>
      <rPr>
        <vertAlign val="superscript"/>
        <sz val="12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</si>
</sst>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Sheet1!$E$4:$E$21</c:f>
              <c:numCache>
                <c:formatCode>General</c:formatCode>
                <c:ptCount val="18"/>
                <c:pt idx="0">
                  <c:v>0</c:v>
                </c:pt>
                <c:pt idx="1">
                  <c:v>44.2</c:v>
                </c:pt>
                <c:pt idx="2">
                  <c:v>465.92</c:v>
                </c:pt>
                <c:pt idx="3">
                  <c:v>487.12</c:v>
                </c:pt>
                <c:pt idx="6">
                  <c:v>487.12</c:v>
                </c:pt>
                <c:pt idx="7">
                  <c:v>728.49</c:v>
                </c:pt>
                <c:pt idx="8">
                  <c:v>1391.59</c:v>
                </c:pt>
                <c:pt idx="9">
                  <c:v>1504.83</c:v>
                </c:pt>
                <c:pt idx="11">
                  <c:v>1504.83</c:v>
                </c:pt>
                <c:pt idx="12">
                  <c:v>1999.086</c:v>
                </c:pt>
                <c:pt idx="13">
                  <c:v>2419.0859999999998</c:v>
                </c:pt>
                <c:pt idx="14">
                  <c:v>2724.0059999999999</c:v>
                </c:pt>
                <c:pt idx="16">
                  <c:v>2724.0059999999999</c:v>
                </c:pt>
                <c:pt idx="17">
                  <c:v>3029.5140000000001</c:v>
                </c:pt>
              </c:numCache>
            </c:numRef>
          </c:xVal>
          <c:yVal>
            <c:numRef>
              <c:f>Sheet1!$F$4:$F$21</c:f>
              <c:numCache>
                <c:formatCode>General</c:formatCode>
                <c:ptCount val="18"/>
                <c:pt idx="0">
                  <c:v>373</c:v>
                </c:pt>
                <c:pt idx="1">
                  <c:v>424.9</c:v>
                </c:pt>
                <c:pt idx="2">
                  <c:v>424.9</c:v>
                </c:pt>
                <c:pt idx="3">
                  <c:v>473</c:v>
                </c:pt>
                <c:pt idx="6">
                  <c:v>373</c:v>
                </c:pt>
                <c:pt idx="7">
                  <c:v>517.29999999999995</c:v>
                </c:pt>
                <c:pt idx="8">
                  <c:v>517.29999999999995</c:v>
                </c:pt>
                <c:pt idx="9">
                  <c:v>623</c:v>
                </c:pt>
                <c:pt idx="11">
                  <c:v>373</c:v>
                </c:pt>
                <c:pt idx="12">
                  <c:v>615.29999999999995</c:v>
                </c:pt>
                <c:pt idx="13">
                  <c:v>615.29999999999995</c:v>
                </c:pt>
                <c:pt idx="14">
                  <c:v>783</c:v>
                </c:pt>
                <c:pt idx="16">
                  <c:v>485.5</c:v>
                </c:pt>
                <c:pt idx="17">
                  <c:v>783</c:v>
                </c:pt>
              </c:numCache>
            </c:numRef>
          </c:yVal>
          <c:smooth val="0"/>
        </c:ser>
        <c:ser>
          <c:idx val="1"/>
          <c:order val="1"/>
          <c:tx>
            <c:v>gas line</c:v>
          </c:tx>
          <c:spPr>
            <a:ln w="6350" cap="sq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0">
                  <a:solidFill>
                    <a:schemeClr val="accent2"/>
                  </a:solidFill>
                  <a:miter lim="800000"/>
                </a:ln>
                <a:effectLst/>
              </c:spPr>
            </c:marker>
            <c:bubble3D val="0"/>
          </c:dPt>
          <c:xVal>
            <c:numRef>
              <c:f>(Sheet1!$E$23,Sheet1!$E$24)</c:f>
              <c:numCache>
                <c:formatCode>General</c:formatCode>
                <c:ptCount val="2"/>
                <c:pt idx="0">
                  <c:v>3029.51</c:v>
                </c:pt>
                <c:pt idx="1">
                  <c:v>0</c:v>
                </c:pt>
              </c:numCache>
            </c:numRef>
          </c:xVal>
          <c:yVal>
            <c:numRef>
              <c:f>(Sheet1!$F$23,Sheet1!$F$24)</c:f>
              <c:numCache>
                <c:formatCode>General</c:formatCode>
                <c:ptCount val="2"/>
                <c:pt idx="0">
                  <c:v>873</c:v>
                </c:pt>
                <c:pt idx="1">
                  <c:v>428.41230000000002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75568"/>
        <c:axId val="196472040"/>
      </c:scatterChart>
      <c:valAx>
        <c:axId val="19647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2040"/>
        <c:crosses val="autoZero"/>
        <c:crossBetween val="midCat"/>
      </c:valAx>
      <c:valAx>
        <c:axId val="19647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338138</xdr:colOff>
      <xdr:row>1</xdr:row>
      <xdr:rowOff>159544</xdr:rowOff>
    </xdr:from>
    <xdr:to>
      <xdr:col>14</xdr:col>
      <xdr:colOff>33338</xdr:colOff>
      <xdr:row>17</xdr:row>
      <xdr:rowOff>7144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4"/>
  <sheetViews>
    <sheetView topLeftCell="A7" zoomScaleNormal="100" workbookViewId="0">
      <selection activeCell="F25" sqref="F25"/>
    </sheetView>
  </sheetViews>
  <sheetFormatPr defaultRowHeight="14.4" x14ac:dyDescent="0.3"/>
  <cols>
    <col min="3" max="3" width="20.5546875" customWidth="1"/>
  </cols>
  <sheetData>
    <row r="3" spans="3:6" x14ac:dyDescent="0.3">
      <c r="C3" t="s">
        <v>2</v>
      </c>
      <c r="E3" t="s">
        <v>0</v>
      </c>
      <c r="F3" t="s">
        <v>1</v>
      </c>
    </row>
    <row r="4" spans="3:6" x14ac:dyDescent="0.3">
      <c r="E4">
        <v>0</v>
      </c>
      <c r="F4">
        <v>373</v>
      </c>
    </row>
    <row r="5" spans="3:6" x14ac:dyDescent="0.3">
      <c r="E5">
        <v>44.2</v>
      </c>
      <c r="F5">
        <v>424.9</v>
      </c>
    </row>
    <row r="6" spans="3:6" x14ac:dyDescent="0.3">
      <c r="E6">
        <v>465.92</v>
      </c>
      <c r="F6">
        <v>424.9</v>
      </c>
    </row>
    <row r="7" spans="3:6" x14ac:dyDescent="0.3">
      <c r="E7">
        <v>487.12</v>
      </c>
      <c r="F7">
        <v>473</v>
      </c>
    </row>
    <row r="9" spans="3:6" x14ac:dyDescent="0.3">
      <c r="C9" t="s">
        <v>4</v>
      </c>
    </row>
    <row r="10" spans="3:6" x14ac:dyDescent="0.3">
      <c r="E10">
        <v>487.12</v>
      </c>
      <c r="F10">
        <v>373</v>
      </c>
    </row>
    <row r="11" spans="3:6" x14ac:dyDescent="0.3">
      <c r="E11">
        <v>728.49</v>
      </c>
      <c r="F11">
        <v>517.29999999999995</v>
      </c>
    </row>
    <row r="12" spans="3:6" x14ac:dyDescent="0.3">
      <c r="E12">
        <v>1391.59</v>
      </c>
      <c r="F12">
        <v>517.29999999999995</v>
      </c>
    </row>
    <row r="13" spans="3:6" x14ac:dyDescent="0.3">
      <c r="E13">
        <v>1504.83</v>
      </c>
      <c r="F13">
        <v>623</v>
      </c>
    </row>
    <row r="15" spans="3:6" x14ac:dyDescent="0.3">
      <c r="C15" t="s">
        <v>3</v>
      </c>
      <c r="E15">
        <v>1504.83</v>
      </c>
      <c r="F15">
        <v>373</v>
      </c>
    </row>
    <row r="16" spans="3:6" x14ac:dyDescent="0.3">
      <c r="E16">
        <v>1999.086</v>
      </c>
      <c r="F16">
        <v>615.29999999999995</v>
      </c>
    </row>
    <row r="17" spans="3:6" x14ac:dyDescent="0.3">
      <c r="E17">
        <v>2419.0859999999998</v>
      </c>
      <c r="F17">
        <v>615.29999999999995</v>
      </c>
    </row>
    <row r="18" spans="3:6" x14ac:dyDescent="0.3">
      <c r="E18">
        <v>2724.0059999999999</v>
      </c>
      <c r="F18">
        <v>783</v>
      </c>
    </row>
    <row r="20" spans="3:6" x14ac:dyDescent="0.3">
      <c r="C20" t="s">
        <v>5</v>
      </c>
      <c r="E20">
        <v>2724.0059999999999</v>
      </c>
      <c r="F20">
        <v>485.5</v>
      </c>
    </row>
    <row r="21" spans="3:6" x14ac:dyDescent="0.3">
      <c r="E21">
        <v>3029.5140000000001</v>
      </c>
      <c r="F21">
        <v>783</v>
      </c>
    </row>
    <row r="23" spans="3:6" x14ac:dyDescent="0.3">
      <c r="C23" t="s">
        <v>6</v>
      </c>
      <c r="E23">
        <v>3029.51</v>
      </c>
      <c r="F23">
        <v>873</v>
      </c>
    </row>
    <row r="24" spans="3:6" x14ac:dyDescent="0.3">
      <c r="E24">
        <v>0</v>
      </c>
      <c r="F24">
        <v>428.41230000000002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R28"/>
  <sheetViews>
    <sheetView tabSelected="1" topLeftCell="B18" zoomScale="115" zoomScaleNormal="115" workbookViewId="0">
      <selection activeCell="O22" sqref="O22"/>
    </sheetView>
  </sheetViews>
  <sheetFormatPr defaultRowHeight="14.4" x14ac:dyDescent="0.3"/>
  <cols>
    <col min="4" max="4" width="11.77734375" customWidth="1"/>
    <col min="5" max="5" width="10.21875" customWidth="1"/>
    <col min="6" max="6" width="11" customWidth="1"/>
    <col min="7" max="8" width="10.6640625" customWidth="1"/>
    <col min="9" max="9" width="15.21875" customWidth="1"/>
    <col min="12" max="12" width="14.21875" customWidth="1"/>
  </cols>
  <sheetData>
    <row r="5" spans="4:17" ht="15" thickBot="1" x14ac:dyDescent="0.35"/>
    <row r="6" spans="4:17" ht="30.6" customHeight="1" thickBot="1" x14ac:dyDescent="0.35">
      <c r="D6" s="5" t="s">
        <v>7</v>
      </c>
      <c r="E6" s="7" t="s">
        <v>8</v>
      </c>
      <c r="F6" s="7" t="s">
        <v>9</v>
      </c>
      <c r="G6" s="5" t="s">
        <v>10</v>
      </c>
      <c r="H6" s="1" t="s">
        <v>11</v>
      </c>
      <c r="I6" s="7" t="s">
        <v>13</v>
      </c>
    </row>
    <row r="7" spans="4:17" ht="17.399999999999999" customHeight="1" thickBot="1" x14ac:dyDescent="0.35">
      <c r="D7" s="6"/>
      <c r="E7" s="8"/>
      <c r="F7" s="8"/>
      <c r="G7" s="6"/>
      <c r="H7" s="2" t="s">
        <v>12</v>
      </c>
      <c r="I7" s="8"/>
      <c r="L7" s="5" t="s">
        <v>7</v>
      </c>
      <c r="M7" s="7" t="s">
        <v>8</v>
      </c>
      <c r="N7" s="7" t="s">
        <v>9</v>
      </c>
      <c r="O7" s="5" t="s">
        <v>10</v>
      </c>
      <c r="P7" s="1" t="s">
        <v>11</v>
      </c>
      <c r="Q7" s="7" t="s">
        <v>13</v>
      </c>
    </row>
    <row r="8" spans="4:17" ht="16.2" thickBot="1" x14ac:dyDescent="0.35">
      <c r="D8" s="3">
        <v>1</v>
      </c>
      <c r="E8" s="4" t="s">
        <v>14</v>
      </c>
      <c r="F8" s="4">
        <v>169.2</v>
      </c>
      <c r="G8" s="4">
        <v>30.5</v>
      </c>
      <c r="H8" s="4">
        <v>5.44</v>
      </c>
      <c r="I8" s="4">
        <v>4414</v>
      </c>
      <c r="L8" s="6"/>
      <c r="M8" s="8"/>
      <c r="N8" s="8"/>
      <c r="O8" s="6"/>
      <c r="P8" s="2" t="s">
        <v>12</v>
      </c>
      <c r="Q8" s="8"/>
    </row>
    <row r="9" spans="4:17" ht="16.2" thickBot="1" x14ac:dyDescent="0.35">
      <c r="D9" s="3">
        <v>2</v>
      </c>
      <c r="E9" s="4" t="s">
        <v>14</v>
      </c>
      <c r="F9" s="4">
        <v>144</v>
      </c>
      <c r="G9" s="4">
        <v>31.5</v>
      </c>
      <c r="H9" s="4">
        <v>1.45</v>
      </c>
      <c r="I9" s="4">
        <v>13126</v>
      </c>
      <c r="L9" s="3">
        <v>1</v>
      </c>
      <c r="M9" s="4" t="s">
        <v>14</v>
      </c>
      <c r="N9" s="4">
        <v>169.2</v>
      </c>
      <c r="O9" s="4">
        <v>30.5</v>
      </c>
      <c r="P9" s="4">
        <v>5.44</v>
      </c>
      <c r="Q9" s="4">
        <v>4414</v>
      </c>
    </row>
    <row r="10" spans="4:17" ht="16.2" thickBot="1" x14ac:dyDescent="0.35">
      <c r="D10" s="3">
        <v>3</v>
      </c>
      <c r="E10" s="4" t="s">
        <v>14</v>
      </c>
      <c r="F10" s="4">
        <v>111.5</v>
      </c>
      <c r="G10" s="4">
        <v>70.900000000000006</v>
      </c>
      <c r="H10" s="4">
        <v>22.59</v>
      </c>
      <c r="I10" s="4">
        <v>7351</v>
      </c>
      <c r="L10" s="3">
        <v>2</v>
      </c>
      <c r="M10" s="4" t="s">
        <v>14</v>
      </c>
      <c r="N10" s="4">
        <v>144</v>
      </c>
      <c r="O10" s="4">
        <v>31.5</v>
      </c>
      <c r="P10" s="4">
        <v>1.45</v>
      </c>
      <c r="Q10" s="4">
        <v>13126</v>
      </c>
    </row>
    <row r="11" spans="4:17" ht="16.2" thickBot="1" x14ac:dyDescent="0.35">
      <c r="D11" s="3">
        <v>4</v>
      </c>
      <c r="E11" s="4" t="s">
        <v>14</v>
      </c>
      <c r="F11" s="4">
        <v>70.900000000000006</v>
      </c>
      <c r="G11" s="4">
        <v>45</v>
      </c>
      <c r="H11" s="4">
        <v>4.62</v>
      </c>
      <c r="I11" s="4">
        <v>2532</v>
      </c>
      <c r="L11" s="3">
        <v>3</v>
      </c>
      <c r="M11" s="4" t="s">
        <v>14</v>
      </c>
      <c r="N11" s="4">
        <v>111.5</v>
      </c>
      <c r="O11" s="4">
        <v>70.900000000000006</v>
      </c>
      <c r="P11" s="4">
        <v>22.59</v>
      </c>
      <c r="Q11" s="4">
        <v>7351</v>
      </c>
    </row>
    <row r="12" spans="4:17" ht="33" customHeight="1" thickBot="1" x14ac:dyDescent="0.35">
      <c r="D12" s="3">
        <v>5</v>
      </c>
      <c r="E12" s="4" t="s">
        <v>14</v>
      </c>
      <c r="F12" s="4">
        <v>62.8</v>
      </c>
      <c r="G12" s="4">
        <v>60.4</v>
      </c>
      <c r="H12" s="4">
        <v>11.84</v>
      </c>
      <c r="I12" s="4" t="s">
        <v>15</v>
      </c>
      <c r="L12" s="3">
        <v>4</v>
      </c>
      <c r="M12" s="4" t="s">
        <v>14</v>
      </c>
      <c r="N12" s="4">
        <v>70.900000000000006</v>
      </c>
      <c r="O12" s="4">
        <v>45</v>
      </c>
      <c r="P12" s="4">
        <v>4.62</v>
      </c>
      <c r="Q12" s="4">
        <v>2532</v>
      </c>
    </row>
    <row r="13" spans="4:17" ht="33" thickBot="1" x14ac:dyDescent="0.35">
      <c r="D13" s="3">
        <v>6</v>
      </c>
      <c r="E13" s="4" t="s">
        <v>14</v>
      </c>
      <c r="F13" s="4">
        <v>114</v>
      </c>
      <c r="G13" s="4">
        <v>27.8</v>
      </c>
      <c r="H13" s="4">
        <v>0.6</v>
      </c>
      <c r="I13" s="4">
        <v>2215</v>
      </c>
      <c r="L13" s="3">
        <v>5</v>
      </c>
      <c r="M13" s="4" t="s">
        <v>14</v>
      </c>
      <c r="N13" s="4">
        <v>62.8</v>
      </c>
      <c r="O13" s="4">
        <v>60.4</v>
      </c>
      <c r="P13" s="4">
        <v>11.84</v>
      </c>
      <c r="Q13" s="4" t="s">
        <v>15</v>
      </c>
    </row>
    <row r="14" spans="4:17" ht="16.2" thickBot="1" x14ac:dyDescent="0.35">
      <c r="D14" s="3">
        <v>7</v>
      </c>
      <c r="E14" s="4" t="s">
        <v>14</v>
      </c>
      <c r="F14" s="4">
        <v>173.5</v>
      </c>
      <c r="G14" s="4">
        <v>149.19999999999999</v>
      </c>
      <c r="H14" s="4">
        <v>26.98</v>
      </c>
      <c r="I14" s="4">
        <v>2586</v>
      </c>
      <c r="L14" s="3">
        <v>6</v>
      </c>
      <c r="M14" s="4" t="s">
        <v>14</v>
      </c>
      <c r="N14" s="4">
        <v>114</v>
      </c>
      <c r="O14" s="4">
        <v>27.8</v>
      </c>
      <c r="P14" s="4">
        <v>0.6</v>
      </c>
      <c r="Q14" s="4">
        <v>2215</v>
      </c>
    </row>
    <row r="15" spans="4:17" ht="16.2" thickBot="1" x14ac:dyDescent="0.35">
      <c r="D15" s="3">
        <v>8</v>
      </c>
      <c r="E15" s="4" t="s">
        <v>14</v>
      </c>
      <c r="F15" s="4">
        <v>173.5</v>
      </c>
      <c r="G15" s="4">
        <v>49.1</v>
      </c>
      <c r="H15" s="4">
        <v>1.4</v>
      </c>
      <c r="I15" s="4">
        <v>2209</v>
      </c>
      <c r="L15" s="3">
        <v>7</v>
      </c>
      <c r="M15" s="4" t="s">
        <v>14</v>
      </c>
      <c r="N15" s="4">
        <v>173.5</v>
      </c>
      <c r="O15" s="4">
        <v>149.19999999999999</v>
      </c>
      <c r="P15" s="4">
        <v>26.98</v>
      </c>
      <c r="Q15" s="4">
        <v>2586</v>
      </c>
    </row>
    <row r="16" spans="4:17" ht="16.2" thickBot="1" x14ac:dyDescent="0.35">
      <c r="D16" s="3">
        <v>9</v>
      </c>
      <c r="E16" s="4" t="s">
        <v>14</v>
      </c>
      <c r="F16" s="4">
        <v>440</v>
      </c>
      <c r="G16" s="4">
        <v>279.5</v>
      </c>
      <c r="H16" s="4">
        <v>10.92</v>
      </c>
      <c r="I16" s="4">
        <v>1222</v>
      </c>
      <c r="L16" s="3">
        <v>8</v>
      </c>
      <c r="M16" s="4" t="s">
        <v>14</v>
      </c>
      <c r="N16" s="4">
        <v>173.5</v>
      </c>
      <c r="O16" s="4">
        <v>49.1</v>
      </c>
      <c r="P16" s="4">
        <v>1.4</v>
      </c>
      <c r="Q16" s="4">
        <v>2209</v>
      </c>
    </row>
    <row r="17" spans="4:18" ht="16.2" thickBot="1" x14ac:dyDescent="0.35">
      <c r="D17" s="3">
        <v>10</v>
      </c>
      <c r="E17" s="4" t="s">
        <v>16</v>
      </c>
      <c r="F17" s="4">
        <v>38.4</v>
      </c>
      <c r="G17" s="4">
        <v>147.6</v>
      </c>
      <c r="H17" s="4">
        <v>7.19</v>
      </c>
      <c r="I17" s="4">
        <v>2161</v>
      </c>
      <c r="L17" s="3">
        <v>9</v>
      </c>
      <c r="M17" s="4" t="s">
        <v>14</v>
      </c>
      <c r="N17" s="4">
        <v>440</v>
      </c>
      <c r="O17" s="4">
        <v>279.5</v>
      </c>
      <c r="P17" s="4">
        <v>10.92</v>
      </c>
      <c r="Q17" s="4">
        <v>1222</v>
      </c>
    </row>
    <row r="18" spans="4:18" ht="18" thickBot="1" x14ac:dyDescent="0.35">
      <c r="D18" s="3">
        <v>11</v>
      </c>
      <c r="E18" s="4" t="s">
        <v>16</v>
      </c>
      <c r="F18" s="4">
        <v>230.7</v>
      </c>
      <c r="G18" s="4">
        <v>234.1</v>
      </c>
      <c r="H18" s="4">
        <v>119.95</v>
      </c>
      <c r="I18" s="4" t="s">
        <v>17</v>
      </c>
    </row>
    <row r="19" spans="4:18" ht="18" thickBot="1" x14ac:dyDescent="0.35">
      <c r="D19" s="3">
        <v>12</v>
      </c>
      <c r="E19" s="4" t="s">
        <v>16</v>
      </c>
      <c r="F19" s="4">
        <v>175.7</v>
      </c>
      <c r="G19" s="4">
        <v>176.6</v>
      </c>
      <c r="H19" s="4">
        <v>72.06</v>
      </c>
      <c r="I19" s="4" t="s">
        <v>18</v>
      </c>
    </row>
    <row r="20" spans="4:18" ht="16.2" thickBot="1" x14ac:dyDescent="0.35">
      <c r="D20" s="3">
        <v>13</v>
      </c>
      <c r="E20" s="4" t="s">
        <v>16</v>
      </c>
      <c r="F20" s="4">
        <v>209.4</v>
      </c>
      <c r="G20" s="4">
        <v>218</v>
      </c>
      <c r="H20" s="4">
        <v>11.99</v>
      </c>
      <c r="I20" s="4">
        <v>3554</v>
      </c>
      <c r="L20" s="4">
        <v>169.2</v>
      </c>
      <c r="M20" s="4">
        <v>30.5</v>
      </c>
      <c r="O20" s="4">
        <v>5.44</v>
      </c>
      <c r="P20" s="4">
        <v>4414</v>
      </c>
      <c r="R20">
        <f>O20*P20</f>
        <v>24012.160000000003</v>
      </c>
    </row>
    <row r="21" spans="4:18" ht="18" thickBot="1" x14ac:dyDescent="0.35">
      <c r="D21" s="3">
        <v>14</v>
      </c>
      <c r="E21" s="4" t="s">
        <v>16</v>
      </c>
      <c r="F21" s="4">
        <v>90.1</v>
      </c>
      <c r="G21" s="4">
        <v>91.1</v>
      </c>
      <c r="H21" s="4">
        <v>21.17</v>
      </c>
      <c r="I21" s="4" t="s">
        <v>19</v>
      </c>
      <c r="L21" s="4">
        <v>144</v>
      </c>
      <c r="M21" s="4">
        <v>31.5</v>
      </c>
      <c r="O21" s="4">
        <v>1.45</v>
      </c>
      <c r="P21" s="4">
        <v>13126</v>
      </c>
      <c r="R21">
        <f>O21*P21</f>
        <v>19032.7</v>
      </c>
    </row>
    <row r="22" spans="4:18" ht="16.2" thickBot="1" x14ac:dyDescent="0.35">
      <c r="D22" s="3">
        <v>15</v>
      </c>
      <c r="E22" s="4" t="s">
        <v>16</v>
      </c>
      <c r="F22" s="4">
        <v>114.1</v>
      </c>
      <c r="G22" s="4">
        <v>122.4</v>
      </c>
      <c r="H22" s="4">
        <v>50.37</v>
      </c>
      <c r="I22" s="4">
        <v>8802</v>
      </c>
      <c r="L22" s="4">
        <v>111.5</v>
      </c>
      <c r="M22" s="4">
        <v>70.900000000000006</v>
      </c>
      <c r="O22" s="4">
        <v>22.59</v>
      </c>
      <c r="P22" s="4">
        <v>7351</v>
      </c>
    </row>
    <row r="23" spans="4:18" ht="16.2" thickBot="1" x14ac:dyDescent="0.35">
      <c r="D23" s="3">
        <v>16</v>
      </c>
      <c r="E23" s="4" t="s">
        <v>16</v>
      </c>
      <c r="F23" s="4">
        <v>-28.4</v>
      </c>
      <c r="G23" s="4">
        <v>20</v>
      </c>
      <c r="H23" s="4">
        <v>0.9</v>
      </c>
      <c r="I23" s="4">
        <v>8512</v>
      </c>
      <c r="L23" s="4">
        <v>70.900000000000006</v>
      </c>
      <c r="M23" s="4">
        <v>45</v>
      </c>
      <c r="O23" s="4">
        <v>4.62</v>
      </c>
      <c r="P23" s="4">
        <v>2532</v>
      </c>
    </row>
    <row r="24" spans="4:18" ht="16.2" thickBot="1" x14ac:dyDescent="0.35">
      <c r="D24" s="3">
        <v>17</v>
      </c>
      <c r="E24" s="4" t="s">
        <v>16</v>
      </c>
      <c r="F24" s="4">
        <v>77</v>
      </c>
      <c r="G24" s="4">
        <v>250</v>
      </c>
      <c r="H24" s="4">
        <v>0.83</v>
      </c>
      <c r="I24" s="4">
        <v>14972</v>
      </c>
      <c r="L24" s="4">
        <v>62.8</v>
      </c>
      <c r="M24" s="4">
        <v>60.4</v>
      </c>
      <c r="O24" s="4">
        <v>11.84</v>
      </c>
      <c r="P24" s="4">
        <v>135717</v>
      </c>
    </row>
    <row r="25" spans="4:18" ht="15.6" thickBot="1" x14ac:dyDescent="0.35">
      <c r="L25" s="4">
        <v>114</v>
      </c>
      <c r="M25" s="4">
        <v>27.8</v>
      </c>
      <c r="O25" s="4">
        <v>0.6</v>
      </c>
      <c r="P25" s="4">
        <v>2215</v>
      </c>
    </row>
    <row r="26" spans="4:18" ht="15.6" thickBot="1" x14ac:dyDescent="0.35">
      <c r="L26" s="4">
        <v>173.5</v>
      </c>
      <c r="M26" s="4">
        <v>149.19999999999999</v>
      </c>
      <c r="O26" s="4">
        <v>26.98</v>
      </c>
      <c r="P26" s="4">
        <v>2586</v>
      </c>
    </row>
    <row r="27" spans="4:18" ht="15.6" thickBot="1" x14ac:dyDescent="0.35">
      <c r="L27" s="4">
        <v>173.5</v>
      </c>
      <c r="M27" s="4">
        <v>49.1</v>
      </c>
      <c r="O27" s="4">
        <v>1.4</v>
      </c>
      <c r="P27" s="4">
        <v>2209</v>
      </c>
    </row>
    <row r="28" spans="4:18" ht="15.6" thickBot="1" x14ac:dyDescent="0.35">
      <c r="L28" s="4">
        <v>440</v>
      </c>
      <c r="M28" s="4">
        <v>279.5</v>
      </c>
      <c r="O28" s="4">
        <v>10.92</v>
      </c>
      <c r="P28" s="4">
        <v>1222</v>
      </c>
    </row>
  </sheetData>
  <mergeCells count="10">
    <mergeCell ref="M7:M8"/>
    <mergeCell ref="N7:N8"/>
    <mergeCell ref="O7:O8"/>
    <mergeCell ref="Q7:Q8"/>
    <mergeCell ref="D6:D7"/>
    <mergeCell ref="E6:E7"/>
    <mergeCell ref="F6:F7"/>
    <mergeCell ref="G6:G7"/>
    <mergeCell ref="I6:I7"/>
    <mergeCell ref="L7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VCI RG</dc:creator>
  <cp:lastModifiedBy>VCI RG</cp:lastModifiedBy>
  <dcterms:created xsi:type="dcterms:W3CDTF">2026-02-08T11:09:19Z</dcterms:created>
  <dcterms:modified xsi:type="dcterms:W3CDTF">2026-02-24T05:27:21Z</dcterms:modified>
</cp:coreProperties>
</file>